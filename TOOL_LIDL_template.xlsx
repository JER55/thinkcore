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Centro Comando" sheetId="1" state="visible" r:id="rId3"/>
    <sheet name="Home" sheetId="2" state="visible" r:id="rId4"/>
    <sheet name="Dashboard" sheetId="3" state="visible" r:id="rId5"/>
    <sheet name="Personale" sheetId="4" state="visible" r:id="rId6"/>
    <sheet name="Turni" sheetId="5" state="visible" r:id="rId7"/>
    <sheet name="Copertura" sheetId="6" state="visible" r:id="rId8"/>
    <sheet name="Parametri" sheetId="7" state="visible" r:id="rId9"/>
    <sheet name="Volumi" sheetId="8" state="visible" r:id="rId10"/>
    <sheet name="Casse" sheetId="9" state="visible" r:id="rId11"/>
    <sheet name="OreRichieste" sheetId="10" state="visible" r:id="rId12"/>
    <sheet name="Organico" sheetId="11" state="visible" r:id="rId13"/>
    <sheet name="Grafici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<sst xmlns="http://schemas.openxmlformats.org/spreadsheetml/2006/main" count="714" uniqueCount="388">
  <si>
    <t xml:space="preserve">⬡  CENTRO COMANDO</t>
  </si>
  <si>
    <t xml:space="preserve">STORE HOURS ENGINE</t>
  </si>
  <si>
    <t xml:space="preserve">Pianificazione turni · copertura · assenze · straordinari — tutto dal vivo</t>
  </si>
  <si>
    <t xml:space="preserve">MONTE ORE</t>
  </si>
  <si>
    <t xml:space="preserve">RICHIESTE</t>
  </si>
  <si>
    <t xml:space="preserve">COPERTURA</t>
  </si>
  <si>
    <t xml:space="preserve">MARGINE</t>
  </si>
  <si>
    <t xml:space="preserve">▍ MAPPA SETTIMANALE DEI BUCHI</t>
  </si>
  <si>
    <t xml:space="preserve">Lun</t>
  </si>
  <si>
    <t xml:space="preserve">Mar</t>
  </si>
  <si>
    <t xml:space="preserve">Mer</t>
  </si>
  <si>
    <t xml:space="preserve">Gio</t>
  </si>
  <si>
    <t xml:space="preserve">Ven</t>
  </si>
  <si>
    <t xml:space="preserve">Sab</t>
  </si>
  <si>
    <t xml:space="preserve">Dom</t>
  </si>
  <si>
    <t xml:space="preserve">scuro = coperto   ·   giallo = 1 mancante   ·   rosso = 2+   (fasce orarie 5:30→21:00)</t>
  </si>
  <si>
    <t xml:space="preserve">▍ SCENARIO ASSENZE</t>
  </si>
  <si>
    <t xml:space="preserve">ASSENZE</t>
  </si>
  <si>
    <t xml:space="preserve">ORE PERSE</t>
  </si>
  <si>
    <t xml:space="preserve">RESP OK</t>
  </si>
  <si>
    <t xml:space="preserve">DEFICIT</t>
  </si>
  <si>
    <t xml:space="preserve">Segna le assenze nel foglio Personale (colonna Assenza: F=ferie, M=malattia). Questo semaforo reagisce dal vivo.</t>
  </si>
  <si>
    <t xml:space="preserve">▸ Fogli:  Grafici (Daily Planner + dettaglio)  ·  Turni  ·  Personale (organico + assenze)  ·  Copertura</t>
  </si>
  <si>
    <t xml:space="preserve">▸ Generatore:  python generatore_turni.py Modello_Ore_LIDL_v3.xlsx  [--auto-ot]</t>
  </si>
  <si>
    <t xml:space="preserve">Modello ore punto vendita  ·  formato discount LIDL  ·  staff polivalente  ·  v2</t>
  </si>
  <si>
    <t xml:space="preserve">NAVIGAZIONE</t>
  </si>
  <si>
    <t xml:space="preserve">DASHBOARD</t>
  </si>
  <si>
    <t xml:space="preserve">PERSONALE</t>
  </si>
  <si>
    <t xml:space="preserve">TURNI</t>
  </si>
  <si>
    <t xml:space="preserve">PARAMETRI</t>
  </si>
  <si>
    <t xml:space="preserve">VOLUMI</t>
  </si>
  <si>
    <t xml:space="preserve">CASSE + SCO</t>
  </si>
  <si>
    <t xml:space="preserve">ORE RICHIESTE</t>
  </si>
  <si>
    <t xml:space="preserve">ORGANICO</t>
  </si>
  <si>
    <t xml:space="preserve">COME FUNZIONA</t>
  </si>
  <si>
    <t xml:space="preserve">MOTORE</t>
  </si>
  <si>
    <t xml:space="preserve">ORARIO DI LAVORO</t>
  </si>
  <si>
    <t xml:space="preserve">CONTROLLI VIVI</t>
  </si>
  <si>
    <t xml:space="preserve">Ore richieste = volumi x standard a pedana (minuti per PLT) + attivita fisse, per attivita e non per reparto. Front-end dimensionato per fascia oraria (coeff. P75-P80) piu presidio SCO.</t>
  </si>
  <si>
    <t xml:space="preserve">Da Personale (organico e monte ore) l'algoritmo genera i Turni: ingresso 5:30 Lun-Gio-Sab e 6:00 gli altri giorni, uscita 21:15, stacco 11h anche sul giro Dom-&gt;Lun, aperture e chiusure mai sotto le 2 persone, un responsabile sempre in negozio, part time 25h-&gt;5h/g e 30h-&gt;6h/g.</t>
  </si>
  <si>
    <t xml:space="preserve">Turni e Copertura verificano con formule ogni modifica manuale: slot da 15 minuti presenti vs richiesti, presidio responsabile, stacchi, quadratura monte ore. Semafori riassunti in Dashboard e Home.</t>
  </si>
  <si>
    <t xml:space="preserve">LEGENDA E ISTRUZIONI</t>
  </si>
  <si>
    <t xml:space="preserve">Testo BLU = input modificabile  ·  Sfondo GIALLO = leve principali  ·  Testo VERDE = formula collegata (non toccare)</t>
  </si>
  <si>
    <t xml:space="preserve">1. Parametri: leve del modello, standard e regole orario di lavoro.</t>
  </si>
  <si>
    <t xml:space="preserve">2. Volumi: calibra % per giorno e profilo per fascia con i dati di cassa reali.</t>
  </si>
  <si>
    <t xml:space="preserve">3. Personale: inserisci organico, ruoli e monte ore.</t>
  </si>
  <si>
    <t xml:space="preserve">4. Turni: orario generato; modificabile a mano, i controlli restano attivi.</t>
  </si>
  <si>
    <t xml:space="preserve">5. Copertura e Dashboard: semafori su coperture, stacchi, aperture/chiusure e produttivita.</t>
  </si>
  <si>
    <t xml:space="preserve">Nota: i turni sono valori (blu); i vincoli sono formule vive che segnalano ogni violazione.</t>
  </si>
  <si>
    <t xml:space="preserve">DASHBOARD  ·  STORE HOURS ENGINE</t>
  </si>
  <si>
    <t xml:space="preserve">FATTURATO / SETTIMANA</t>
  </si>
  <si>
    <t xml:space="preserve">PEZZI VENDUTI / SETTIMANA</t>
  </si>
  <si>
    <t xml:space="preserve">ORE RICHIESTE / SETTIMANA</t>
  </si>
  <si>
    <t xml:space="preserve">PRODUTTIVITA  EUR/ORA</t>
  </si>
  <si>
    <t xml:space="preserve">PRODUTTIVITA  PEZZI/ORA</t>
  </si>
  <si>
    <t xml:space="preserve">INCIDENZA COSTO LAVORO</t>
  </si>
  <si>
    <t xml:space="preserve">VERIFICA PRODUTTIVITA VS BENCHMARK</t>
  </si>
  <si>
    <t xml:space="preserve">Indicatore</t>
  </si>
  <si>
    <t xml:space="preserve">Su ore richieste</t>
  </si>
  <si>
    <t xml:space="preserve">Su ore PLAN</t>
  </si>
  <si>
    <t xml:space="preserve">Target</t>
  </si>
  <si>
    <t xml:space="preserve">Esito</t>
  </si>
  <si>
    <t xml:space="preserve">Produttivita (EUR/ora)</t>
  </si>
  <si>
    <t xml:space="preserve">Produttivita (pezzi/ora)</t>
  </si>
  <si>
    <t xml:space="preserve">Incidenza costo lavoro</t>
  </si>
  <si>
    <t xml:space="preserve">ORE PER GIORNO  ·  richieste vs pianificate</t>
  </si>
  <si>
    <t xml:space="preserve">Giorno</t>
  </si>
  <si>
    <t xml:space="preserve">Richieste</t>
  </si>
  <si>
    <t xml:space="preserve">Pianificate</t>
  </si>
  <si>
    <t xml:space="preserve">Gap</t>
  </si>
  <si>
    <t xml:space="preserve">Saturazione</t>
  </si>
  <si>
    <t xml:space="preserve">Totale</t>
  </si>
  <si>
    <t xml:space="preserve">MIX ORE PER ATTIVITA  ·  settimana</t>
  </si>
  <si>
    <t xml:space="preserve">Attivita</t>
  </si>
  <si>
    <t xml:space="preserve">Ore/sett</t>
  </si>
  <si>
    <t xml:space="preserve">% sul totale</t>
  </si>
  <si>
    <t xml:space="preserve">DETTAGLIO OPERATIVO</t>
  </si>
  <si>
    <t xml:space="preserve">Costo del lavoro su ore pianificate</t>
  </si>
  <si>
    <t xml:space="preserve">Scontrini per ora di barriera</t>
  </si>
  <si>
    <t xml:space="preserve">Casse barriera max in contemporanea</t>
  </si>
  <si>
    <t xml:space="preserve">Ore presidio SCO / settimana</t>
  </si>
  <si>
    <t xml:space="preserve">CONFORMITA ORARIO DI LAVORO  ·  controlli automatici sui fogli Turni e Copertura</t>
  </si>
  <si>
    <t xml:space="preserve">Stacchi sotto le 11 ore (dipendenti)</t>
  </si>
  <si>
    <t xml:space="preserve">Dipendenti con ore diverse dal monte ore</t>
  </si>
  <si>
    <t xml:space="preserve">Slot da 15 min sotto copertura minima</t>
  </si>
  <si>
    <t xml:space="preserve">Slot senza responsabile in negozio</t>
  </si>
  <si>
    <t xml:space="preserve">Aperture con meno di 2 persone</t>
  </si>
  <si>
    <t xml:space="preserve">Chiusure con meno di 2 persone</t>
  </si>
  <si>
    <t xml:space="preserve">ORGANICO E MONTE ORE  ·  input del generatore turni</t>
  </si>
  <si>
    <t xml:space="preserve">Costo_orario</t>
  </si>
  <si>
    <t xml:space="preserve">Straordinario_sett</t>
  </si>
  <si>
    <t xml:space="preserve">Modifica nomi, ruoli e monte ore in blu. Ore/giorno = monte ore / giorni lavorativi (regola part time 25h-&gt;5h, 30h-&gt;6h).</t>
  </si>
  <si>
    <t xml:space="preserve">Dipendente</t>
  </si>
  <si>
    <t xml:space="preserve">Ruolo</t>
  </si>
  <si>
    <t xml:space="preserve">Monte ore</t>
  </si>
  <si>
    <t xml:space="preserve">Giorni lav.</t>
  </si>
  <si>
    <t xml:space="preserve">Ore/giorno</t>
  </si>
  <si>
    <t xml:space="preserve">Riposi</t>
  </si>
  <si>
    <t xml:space="preserve">Assenza</t>
  </si>
  <si>
    <t xml:space="preserve">Ore perse</t>
  </si>
  <si>
    <t xml:space="preserve">OreP</t>
  </si>
  <si>
    <t xml:space="preserve">RESP 01</t>
  </si>
  <si>
    <t xml:space="preserve">RESP</t>
  </si>
  <si>
    <t xml:space="preserve">RESP 02</t>
  </si>
  <si>
    <t xml:space="preserve">RESP 03</t>
  </si>
  <si>
    <t xml:space="preserve">RESP 04</t>
  </si>
  <si>
    <t xml:space="preserve">RESP 05</t>
  </si>
  <si>
    <t xml:space="preserve">M</t>
  </si>
  <si>
    <t xml:space="preserve">RESP 06</t>
  </si>
  <si>
    <t xml:space="preserve">RESP 07</t>
  </si>
  <si>
    <t xml:space="preserve">ADDETTO 01</t>
  </si>
  <si>
    <t xml:space="preserve">ADDETTO</t>
  </si>
  <si>
    <t xml:space="preserve">ADDETTO 02</t>
  </si>
  <si>
    <t xml:space="preserve">ADDETTO 03</t>
  </si>
  <si>
    <t xml:space="preserve">ADDETTO 04</t>
  </si>
  <si>
    <t xml:space="preserve">ADDETTO 05</t>
  </si>
  <si>
    <t xml:space="preserve">ADDETTO 06</t>
  </si>
  <si>
    <t xml:space="preserve">ADDETTO 07</t>
  </si>
  <si>
    <t xml:space="preserve">ADDETTO 08</t>
  </si>
  <si>
    <t xml:space="preserve">ADDETTO 09</t>
  </si>
  <si>
    <t xml:space="preserve">ADDETTO 10</t>
  </si>
  <si>
    <t xml:space="preserve">ADDETTO 11</t>
  </si>
  <si>
    <t xml:space="preserve">ADDETTO 12</t>
  </si>
  <si>
    <t xml:space="preserve">ADDETTO 13</t>
  </si>
  <si>
    <t xml:space="preserve">ADDETTO 14</t>
  </si>
  <si>
    <t xml:space="preserve">ADDETTO 15</t>
  </si>
  <si>
    <t xml:space="preserve">ADDETTO 16</t>
  </si>
  <si>
    <t xml:space="preserve">ADDETTO 17</t>
  </si>
  <si>
    <t xml:space="preserve">ADDETTO 18</t>
  </si>
  <si>
    <t xml:space="preserve">FRANCESCON</t>
  </si>
  <si>
    <t xml:space="preserve">Ore richieste dal modello (settimana)</t>
  </si>
  <si>
    <t xml:space="preserve">Margine organico (monte ore - richieste)</t>
  </si>
  <si>
    <t xml:space="preserve">Verifica dimensionamento</t>
  </si>
  <si>
    <t xml:space="preserve">Un margine del 4-8% copre code di rifornimento, picchi e flessibilita; ferie e malattie vanno gestite a parte.</t>
  </si>
  <si>
    <t xml:space="preserve">ORARIO DI LAVORO SETTIMANALE  ·  generato dall'algoritmo, modificabile</t>
  </si>
  <si>
    <t xml:space="preserve"> </t>
  </si>
  <si>
    <t xml:space="preserve">Monte</t>
  </si>
  <si>
    <t xml:space="preserve">GG</t>
  </si>
  <si>
    <t xml:space="preserve">h/g</t>
  </si>
  <si>
    <t xml:space="preserve">In</t>
  </si>
  <si>
    <t xml:space="preserve">Out</t>
  </si>
  <si>
    <t xml:space="preserve">Ore</t>
  </si>
  <si>
    <t xml:space="preserve">Tot</t>
  </si>
  <si>
    <t xml:space="preserve">Delta</t>
  </si>
  <si>
    <t xml:space="preserve">Stacco</t>
  </si>
  <si>
    <t xml:space="preserve">R</t>
  </si>
  <si>
    <t xml:space="preserve">RIEPILOGO GIORNALIERO E CONTROLLI</t>
  </si>
  <si>
    <t xml:space="preserve">Voce</t>
  </si>
  <si>
    <t xml:space="preserve">Ore pianificate</t>
  </si>
  <si>
    <t xml:space="preserve">Presenti (teste)</t>
  </si>
  <si>
    <t xml:space="preserve">Ingressi all'apertura</t>
  </si>
  <si>
    <t xml:space="preserve">Uscite alla chiusura</t>
  </si>
  <si>
    <t xml:space="preserve">Esito apertura / chiusura</t>
  </si>
  <si>
    <t xml:space="preserve">Ingressi non in coppia (info)</t>
  </si>
  <si>
    <t xml:space="preserve">Uscite non in coppia (info)</t>
  </si>
  <si>
    <t xml:space="preserve">Con una presenza minima di 2 sempre garantita, gli ingressi/uscite intermedi avvengono a negozio presidiato.</t>
  </si>
  <si>
    <t xml:space="preserve">COPERTURA A SLOT DI 15 MINUTI  ·  presenti vs richiesti, con presidio responsabile</t>
  </si>
  <si>
    <t xml:space="preserve">Richiesti = casse necessarie + presidio SCO + attivita operative distribuite col profilo pesi (col. B, modificabile), minimo 2 persone.</t>
  </si>
  <si>
    <t xml:space="preserve">Ora</t>
  </si>
  <si>
    <t xml:space="preserve">Peso</t>
  </si>
  <si>
    <t xml:space="preserve">Pres</t>
  </si>
  <si>
    <t xml:space="preserve">Resp</t>
  </si>
  <si>
    <t xml:space="preserve">Rich</t>
  </si>
  <si>
    <t xml:space="preserve">Etich.</t>
  </si>
  <si>
    <t xml:space="preserve">05:30</t>
  </si>
  <si>
    <t xml:space="preserve">05:45</t>
  </si>
  <si>
    <t xml:space="preserve">06:00</t>
  </si>
  <si>
    <t xml:space="preserve">06:15</t>
  </si>
  <si>
    <t xml:space="preserve">06:30</t>
  </si>
  <si>
    <t xml:space="preserve">06:45</t>
  </si>
  <si>
    <t xml:space="preserve">07:00</t>
  </si>
  <si>
    <t xml:space="preserve">07:15</t>
  </si>
  <si>
    <t xml:space="preserve">07:30</t>
  </si>
  <si>
    <t xml:space="preserve">07:45</t>
  </si>
  <si>
    <t xml:space="preserve">08:00</t>
  </si>
  <si>
    <t xml:space="preserve">08:15</t>
  </si>
  <si>
    <t xml:space="preserve">08:30</t>
  </si>
  <si>
    <t xml:space="preserve">08:45</t>
  </si>
  <si>
    <t xml:space="preserve">09:00</t>
  </si>
  <si>
    <t xml:space="preserve">09:15</t>
  </si>
  <si>
    <t xml:space="preserve">09:30</t>
  </si>
  <si>
    <t xml:space="preserve">09:45</t>
  </si>
  <si>
    <t xml:space="preserve">10:00</t>
  </si>
  <si>
    <t xml:space="preserve">10:15</t>
  </si>
  <si>
    <t xml:space="preserve">10:30</t>
  </si>
  <si>
    <t xml:space="preserve">10:45</t>
  </si>
  <si>
    <t xml:space="preserve">11:00</t>
  </si>
  <si>
    <t xml:space="preserve">11:15</t>
  </si>
  <si>
    <t xml:space="preserve">11:30</t>
  </si>
  <si>
    <t xml:space="preserve">11:45</t>
  </si>
  <si>
    <t xml:space="preserve">12:00</t>
  </si>
  <si>
    <t xml:space="preserve">12:15</t>
  </si>
  <si>
    <t xml:space="preserve">12:30</t>
  </si>
  <si>
    <t xml:space="preserve">12:45</t>
  </si>
  <si>
    <t xml:space="preserve">13:00</t>
  </si>
  <si>
    <t xml:space="preserve">13:15</t>
  </si>
  <si>
    <t xml:space="preserve">13:30</t>
  </si>
  <si>
    <t xml:space="preserve">13:45</t>
  </si>
  <si>
    <t xml:space="preserve">14:00</t>
  </si>
  <si>
    <t xml:space="preserve">14:15</t>
  </si>
  <si>
    <t xml:space="preserve">14:30</t>
  </si>
  <si>
    <t xml:space="preserve">14:45</t>
  </si>
  <si>
    <t xml:space="preserve">15:00</t>
  </si>
  <si>
    <t xml:space="preserve">15:15</t>
  </si>
  <si>
    <t xml:space="preserve">15:30</t>
  </si>
  <si>
    <t xml:space="preserve">15:45</t>
  </si>
  <si>
    <t xml:space="preserve">16:00</t>
  </si>
  <si>
    <t xml:space="preserve">16:15</t>
  </si>
  <si>
    <t xml:space="preserve">16:30</t>
  </si>
  <si>
    <t xml:space="preserve">16:45</t>
  </si>
  <si>
    <t xml:space="preserve">17:00</t>
  </si>
  <si>
    <t xml:space="preserve">17:15</t>
  </si>
  <si>
    <t xml:space="preserve">17:30</t>
  </si>
  <si>
    <t xml:space="preserve">17:45</t>
  </si>
  <si>
    <t xml:space="preserve">18:00</t>
  </si>
  <si>
    <t xml:space="preserve">18:15</t>
  </si>
  <si>
    <t xml:space="preserve">18:30</t>
  </si>
  <si>
    <t xml:space="preserve">18:45</t>
  </si>
  <si>
    <t xml:space="preserve">19:00</t>
  </si>
  <si>
    <t xml:space="preserve">19:15</t>
  </si>
  <si>
    <t xml:space="preserve">19:30</t>
  </si>
  <si>
    <t xml:space="preserve">19:45</t>
  </si>
  <si>
    <t xml:space="preserve">20:00</t>
  </si>
  <si>
    <t xml:space="preserve">20:15</t>
  </si>
  <si>
    <t xml:space="preserve">20:30</t>
  </si>
  <si>
    <t xml:space="preserve">20:45</t>
  </si>
  <si>
    <t xml:space="preserve">21:00</t>
  </si>
  <si>
    <t xml:space="preserve">Slot sotto copertura (KO)</t>
  </si>
  <si>
    <t xml:space="preserve">Slot senza responsabile</t>
  </si>
  <si>
    <t xml:space="preserve">Minimo presenti in orario</t>
  </si>
  <si>
    <t xml:space="preserve">Esito giorno</t>
  </si>
  <si>
    <t xml:space="preserve">PARAMETRI DEL MODELLO  ·  STORE HOURS ENGINE</t>
  </si>
  <si>
    <t xml:space="preserve">Standard SEGNAPOSTO di settore discount: da calibrare sui dati reali (regressione su storici o settimana fotografia).</t>
  </si>
  <si>
    <t xml:space="preserve">LEVE PRINCIPALI (input)</t>
  </si>
  <si>
    <t xml:space="preserve">Fatturato settimanale (EUR)</t>
  </si>
  <si>
    <t xml:space="preserve">Pezzi venduti a settimana</t>
  </si>
  <si>
    <t xml:space="preserve">Scontrino medio (EUR)</t>
  </si>
  <si>
    <t xml:space="preserve">Scontrini settimanali (calcolato)</t>
  </si>
  <si>
    <t xml:space="preserve">Pezzi per scontrino (calcolato)</t>
  </si>
  <si>
    <t xml:space="preserve">Costo orario medio aziendale (EUR)</t>
  </si>
  <si>
    <t xml:space="preserve">CASSE E SELF-CHECKOUT (SCO)</t>
  </si>
  <si>
    <t xml:space="preserve">Coefficiente di sicurezza casse (dimensiona ~P75-P80)</t>
  </si>
  <si>
    <t xml:space="preserve">Capacita cassa barriera (scontrini/ora)</t>
  </si>
  <si>
    <t xml:space="preserve">Numero casse SCO installate</t>
  </si>
  <si>
    <t xml:space="preserve">Quota scontrini gestita dalle SCO quando attive</t>
  </si>
  <si>
    <t xml:space="preserve">Addetti di presidio SCO quando attive</t>
  </si>
  <si>
    <t xml:space="preserve">Casse barriera disponibili (fisiche)</t>
  </si>
  <si>
    <t xml:space="preserve">CATEGORIE MERCEOLOGICHE - RIFORNIMENTO A PEDANA (driver: pezzi venduti, logica PLT)</t>
  </si>
  <si>
    <t xml:space="preserve">Categoria</t>
  </si>
  <si>
    <t xml:space="preserve">% pezzi</t>
  </si>
  <si>
    <t xml:space="preserve">Pezzi/sett</t>
  </si>
  <si>
    <t xml:space="preserve">Pezzi per PLT</t>
  </si>
  <si>
    <t xml:space="preserve">PLT/sett</t>
  </si>
  <si>
    <t xml:space="preserve">Min per PLT</t>
  </si>
  <si>
    <t xml:space="preserve">Ore richieste/sett</t>
  </si>
  <si>
    <t xml:space="preserve">FV</t>
  </si>
  <si>
    <t xml:space="preserve">BAKE</t>
  </si>
  <si>
    <t xml:space="preserve">CARNE</t>
  </si>
  <si>
    <t xml:space="preserve">SECCHI</t>
  </si>
  <si>
    <t xml:space="preserve">SURGELATI</t>
  </si>
  <si>
    <t xml:space="preserve">FRESCHI</t>
  </si>
  <si>
    <t xml:space="preserve">PROMO FOOD</t>
  </si>
  <si>
    <t xml:space="preserve">GESTIONE FOOD</t>
  </si>
  <si>
    <t xml:space="preserve">PROMO NF</t>
  </si>
  <si>
    <t xml:space="preserve">GESTIONE E RIPASSO NF</t>
  </si>
  <si>
    <t xml:space="preserve">CONTROLLO SCORTE E ORDINI</t>
  </si>
  <si>
    <t xml:space="preserve">Controllo scorte e ordini merce</t>
  </si>
  <si>
    <t xml:space="preserve">ATTIVITA FISSE GIORNALIERE</t>
  </si>
  <si>
    <t xml:space="preserve">Attivita fissa</t>
  </si>
  <si>
    <t xml:space="preserve">Cura, controllo freschezza e rotazione FV</t>
  </si>
  <si>
    <t xml:space="preserve">Pulizia e gestione forni BAKE</t>
  </si>
  <si>
    <t xml:space="preserve">Controllo scadenze e ribassi</t>
  </si>
  <si>
    <t xml:space="preserve">Riordino sala e facing di chiusura</t>
  </si>
  <si>
    <t xml:space="preserve">Pulizie negozio e piazzale</t>
  </si>
  <si>
    <t xml:space="preserve">Gestione negozio (ordini, cassaforte, amministrazione)</t>
  </si>
  <si>
    <t xml:space="preserve">ATTIVITA SETTIMANALI (caricate sul giorno indicato)</t>
  </si>
  <si>
    <t xml:space="preserve">Attivita settimanale</t>
  </si>
  <si>
    <t xml:space="preserve">Ore/settimana</t>
  </si>
  <si>
    <t xml:space="preserve">Allestimento promo di lunedi (PROMO FOOD / PROMO NF)</t>
  </si>
  <si>
    <t xml:space="preserve">Allestimento promo di giovedi (PROMO FOOD / PROMO NF)</t>
  </si>
  <si>
    <t xml:space="preserve">Resi,NA NF</t>
  </si>
  <si>
    <t xml:space="preserve">Inventari rotativi</t>
  </si>
  <si>
    <t xml:space="preserve">BENCHMARK PRODUTTIVITA (target di verifica, usati in Dashboard)</t>
  </si>
  <si>
    <t xml:space="preserve">Produttivita minima (pezzi/ora lavorata)</t>
  </si>
  <si>
    <t xml:space="preserve">Produttivita massima (pezzi/ora lavorata)</t>
  </si>
  <si>
    <t xml:space="preserve">Produttivita minima (EUR/ora lavorata)</t>
  </si>
  <si>
    <t xml:space="preserve">Produttivita massima (EUR/ora lavorata)</t>
  </si>
  <si>
    <t xml:space="preserve">Incidenza massima costo lavoro su fatturato</t>
  </si>
  <si>
    <t xml:space="preserve">Range tipici formato discount hard: 200-240 pz/h e 330-420 EUR/h a totale negozio; da tarare sul cluster aziendale.</t>
  </si>
  <si>
    <t xml:space="preserve">REGOLE ORARIO DI LAVORO (vincoli di legge e di negozio)</t>
  </si>
  <si>
    <t xml:space="preserve">Regola</t>
  </si>
  <si>
    <t xml:space="preserve">Orario di ingresso</t>
  </si>
  <si>
    <t xml:space="preserve">Orario di uscita (chiusura)</t>
  </si>
  <si>
    <t xml:space="preserve">Stacco minimo tra un turno e il successivo (ore)</t>
  </si>
  <si>
    <t xml:space="preserve">Presenza minima contemporanea in negozio (persone)</t>
  </si>
  <si>
    <t xml:space="preserve">Persone minime in apertura</t>
  </si>
  <si>
    <t xml:space="preserve">Persone minime in chiusura</t>
  </si>
  <si>
    <t xml:space="preserve">Part time: 25h -&gt; 5 giorni x 5h; 30h -&gt; 5 giorni x 6h (ore/giorno = monte ore / giorni, foglio Personale). Un responsabile deve essere sempre presente.</t>
  </si>
  <si>
    <t xml:space="preserve">VOLUMI SETTIMANA TIPO  ·  derivati da fatturato e pezzi (Parametri)</t>
  </si>
  <si>
    <t xml:space="preserve">Le % in blu sono dimostrative: calibrale con i dati di cassa reali. Tutto il resto si ricalcola da solo.</t>
  </si>
  <si>
    <t xml:space="preserve">RIPARTIZIONE DELLA SETTIMANA PER GIORNO</t>
  </si>
  <si>
    <t xml:space="preserve">% del totale settimanale</t>
  </si>
  <si>
    <t xml:space="preserve">Pezzi venduti</t>
  </si>
  <si>
    <t xml:space="preserve">Scontrini</t>
  </si>
  <si>
    <t xml:space="preserve">Fatturato (EUR)</t>
  </si>
  <si>
    <t xml:space="preserve">Controllo ripartizione giorni</t>
  </si>
  <si>
    <t xml:space="preserve">PEZZI VENDUTI PER CATEGORIA E GIORNO</t>
  </si>
  <si>
    <t xml:space="preserve">Totale pezzi</t>
  </si>
  <si>
    <t xml:space="preserve">PLT MOVIMENTATE PER CATEGORIA E GIORNO (pezzi / pezzi per PLT)</t>
  </si>
  <si>
    <t xml:space="preserve">Totale PLT</t>
  </si>
  <si>
    <t xml:space="preserve">HEATMAP DOMANDA  ·  scontrini per fascia oraria</t>
  </si>
  <si>
    <t xml:space="preserve">Fascia</t>
  </si>
  <si>
    <t xml:space="preserve">% del giorno</t>
  </si>
  <si>
    <t xml:space="preserve">08-09</t>
  </si>
  <si>
    <t xml:space="preserve">09-10</t>
  </si>
  <si>
    <t xml:space="preserve">10-11</t>
  </si>
  <si>
    <t xml:space="preserve">11-12</t>
  </si>
  <si>
    <t xml:space="preserve">12-13</t>
  </si>
  <si>
    <t xml:space="preserve">13-14</t>
  </si>
  <si>
    <t xml:space="preserve">14-15</t>
  </si>
  <si>
    <t xml:space="preserve">15-16</t>
  </si>
  <si>
    <t xml:space="preserve">16-17</t>
  </si>
  <si>
    <t xml:space="preserve">17-18</t>
  </si>
  <si>
    <t xml:space="preserve">18-19</t>
  </si>
  <si>
    <t xml:space="preserve">19-20</t>
  </si>
  <si>
    <t xml:space="preserve">20-21</t>
  </si>
  <si>
    <t xml:space="preserve">Controllo profilo fasce</t>
  </si>
  <si>
    <t xml:space="preserve">FRONT-END  ·  barriera casse + self-checkout (SCO)</t>
  </si>
  <si>
    <t xml:space="preserve">Casse necessarie = scontrini barriera x coefficiente sicurezza / capacita cassa (minimo 1 a negozio aperto).</t>
  </si>
  <si>
    <t xml:space="preserve">Scontrini barriera = scontrini totali x (1 - quota SCO). Parametri modificabili nel foglio Parametri.</t>
  </si>
  <si>
    <t xml:space="preserve">Ore barriera richieste</t>
  </si>
  <si>
    <t xml:space="preserve">Casse max in contemporanea</t>
  </si>
  <si>
    <t xml:space="preserve">Verifica vs casse disponibili</t>
  </si>
  <si>
    <t xml:space="preserve">PRESIDIO SCO  ·  6 casse automatiche, 1 addetto quando attive</t>
  </si>
  <si>
    <t xml:space="preserve">Ore di attivazione SCO al giorno</t>
  </si>
  <si>
    <t xml:space="preserve">Ore presidio SCO richieste</t>
  </si>
  <si>
    <t xml:space="preserve">Totale ore front-end (barriera + SCO)</t>
  </si>
  <si>
    <t xml:space="preserve">ORE RICHIESTE PER ATTIVITA E GIORNO  ·  motore del modello</t>
  </si>
  <si>
    <t xml:space="preserve">Staff polivalente: le ore sono per attivita, chiunque puo coprirle.</t>
  </si>
  <si>
    <t xml:space="preserve">Rifornimento FV</t>
  </si>
  <si>
    <t xml:space="preserve">BAKE: cottura ed esposizione</t>
  </si>
  <si>
    <t xml:space="preserve">Rifornimento CARNE</t>
  </si>
  <si>
    <t xml:space="preserve">Rifornimento SECCHI</t>
  </si>
  <si>
    <t xml:space="preserve">Rifornimento SURGELATI</t>
  </si>
  <si>
    <t xml:space="preserve">Rifornimento FRESCHI</t>
  </si>
  <si>
    <t xml:space="preserve">Allestimento PROMO FOOD</t>
  </si>
  <si>
    <t xml:space="preserve">Allestimento PROMO NF</t>
  </si>
  <si>
    <t xml:space="preserve">Barriera casse</t>
  </si>
  <si>
    <t xml:space="preserve">Presidio SCO</t>
  </si>
  <si>
    <t xml:space="preserve">Attivita fisse giornaliere</t>
  </si>
  <si>
    <t xml:space="preserve">Attivita settimanali</t>
  </si>
  <si>
    <t xml:space="preserve">ORE PIANIFICATE PER TURNO E GIORNO  ·  dati dimostrativi</t>
  </si>
  <si>
    <t xml:space="preserve">Calcolato automaticamente dal foglio Turni: ore per fascia di inizio turno. Non serve inserire nulla qui.</t>
  </si>
  <si>
    <t xml:space="preserve">Turno</t>
  </si>
  <si>
    <t xml:space="preserve">Turno mattina (inizio prima delle 9:00)</t>
  </si>
  <si>
    <t xml:space="preserve">Turno centrale (inizio 9:00-12:59)</t>
  </si>
  <si>
    <t xml:space="preserve">Turno pomeriggio e chiusura (inizio dalle 13:00)</t>
  </si>
  <si>
    <t xml:space="preserve">Fonte: foglio Turni (orario generato). La Dashboard confronta queste ore con le ore richieste dal modello.</t>
  </si>
  <si>
    <t xml:space="preserve">GRAFICI TURNI  ·  copertura e buchi</t>
  </si>
  <si>
    <t xml:space="preserve">Grafici collegati con formule ai fogli Turni e Copertura: si aggiornano da soli quando modifichi un orario. Non modificare le celle grigie di questo foglio.</t>
  </si>
  <si>
    <t xml:space="preserve">1 · Mappa settimanale dei buchi di copertura</t>
  </si>
  <si>
    <t xml:space="preserve">Ogni cella = persone mancanti (Richiesti - Presenti) in quella mezz'ora. Verde chiaro = coperto, rosso = scoperto. Fasce da 30 minuti, 05:30 -&gt; 21:00.</t>
  </si>
  <si>
    <t xml:space="preserve">Giorno / ora</t>
  </si>
  <si>
    <t xml:space="preserve">h mancanti</t>
  </si>
  <si>
    <t xml:space="preserve">2 · Grafico del giorno</t>
  </si>
  <si>
    <t xml:space="preserve">Giorno selezionato:</t>
  </si>
  <si>
    <t xml:space="preserve">&lt;- scegli qui il giorno (menu a tendina). I due grafici sotto seguono la scelta.</t>
  </si>
  <si>
    <t xml:space="preserve">(tabelle di servizio dei grafici - non modificare)</t>
  </si>
  <si>
    <t xml:space="preserve">Presenti</t>
  </si>
  <si>
    <t xml:space="preserve">Richiesti</t>
  </si>
  <si>
    <t xml:space="preserve">Inizio (h)</t>
  </si>
  <si>
    <t xml:space="preserve">Durata (h)</t>
  </si>
  <si>
    <t xml:space="preserve">3 · Scenario assenze  ·  reggi la settimana?</t>
  </si>
  <si>
    <t xml:space="preserve">Segna le assenze nel foglio Personale (colonna Assenza: F=ferie, M=malattia). Questo pannello si aggiorna da solo e ti dice cosa fare.</t>
  </si>
  <si>
    <t xml:space="preserve">Valore</t>
  </si>
  <si>
    <t xml:space="preserve">Monte ore contrattuale</t>
  </si>
  <si>
    <t xml:space="preserve">Assenze segnate</t>
  </si>
  <si>
    <t xml:space="preserve">Ore perse per assenze</t>
  </si>
  <si>
    <t xml:space="preserve">Capacita effettiva</t>
  </si>
  <si>
    <t xml:space="preserve">Ore richieste</t>
  </si>
  <si>
    <t xml:space="preserve">Margine / deficit</t>
  </si>
  <si>
    <t xml:space="preserve">Copertura % del fabbisogno</t>
  </si>
  <si>
    <t xml:space="preserve">Cosa fare</t>
  </si>
  <si>
    <t xml:space="preserve">Responsabili presenti</t>
  </si>
  <si>
    <t xml:space="preserve">Jolly da chiamare (su 2)</t>
  </si>
  <si>
    <t xml:space="preserve">Straordinario residuo</t>
  </si>
  <si>
    <t xml:space="preserve">ESITO</t>
  </si>
  <si>
    <t xml:space="preserve">Protocollo: 1) FERIE (pianificate) -&gt; segnale con settimane di anticipo, il generatore le assorbe. 2) MALATTIA (last-minute) -&gt; prima i jolly, poi straordinario mirato entro i tetti (25% monte, 48h, 250h/anno). 3) CRITICO -&gt; rivedi il fabbisogno del giorno o chiudi anticipatamente una fascia a basso traffico.</t>
  </si>
</sst>
</file>

<file path=xl/styles.xml><?xml version="1.0" encoding="utf-8"?>
<styleSheet xmlns="http://schemas.openxmlformats.org/spreadsheetml/2006/main">
  <numFmts count="27">
    <numFmt numFmtId="164" formatCode="General"/>
    <numFmt numFmtId="165" formatCode="0&quot; h&quot;"/>
    <numFmt numFmtId="166" formatCode="0.0%"/>
    <numFmt numFmtId="167" formatCode="\+0&quot; h&quot;;\-0&quot; h&quot;"/>
    <numFmt numFmtId="168" formatCode="h"/>
    <numFmt numFmtId="169" formatCode=";;;"/>
    <numFmt numFmtId="170" formatCode="@"/>
    <numFmt numFmtId="171" formatCode="0&quot;/6&quot;"/>
    <numFmt numFmtId="172" formatCode="General"/>
    <numFmt numFmtId="173" formatCode="&quot;€ &quot;#,##0"/>
    <numFmt numFmtId="174" formatCode="#,##0"/>
    <numFmt numFmtId="175" formatCode="#,##0.0&quot; h&quot;"/>
    <numFmt numFmtId="176" formatCode="#,##0&quot; €/h&quot;"/>
    <numFmt numFmtId="177" formatCode="#,##0&quot; pz/h&quot;"/>
    <numFmt numFmtId="178" formatCode="0.0"/>
    <numFmt numFmtId="179" formatCode="\+0.0;\-0.0;0.0"/>
    <numFmt numFmtId="180" formatCode="0"/>
    <numFmt numFmtId="181" formatCode="0%"/>
    <numFmt numFmtId="182" formatCode="0.0;;&quot;&quot;"/>
    <numFmt numFmtId="183" formatCode="[$-410]h:mm"/>
    <numFmt numFmtId="184" formatCode="\+0.0;\-0.0;0"/>
    <numFmt numFmtId="185" formatCode="h:mm"/>
    <numFmt numFmtId="186" formatCode="#,##0.00"/>
    <numFmt numFmtId="187" formatCode="0.00"/>
    <numFmt numFmtId="188" formatCode="0;;&quot;&quot;"/>
    <numFmt numFmtId="189" formatCode="0.0&quot; h&quot;"/>
    <numFmt numFmtId="190" formatCode="\+0.0&quot; h&quot;;\-0.0&quot; h&quot;"/>
  </numFmts>
  <fonts count="74">
    <font>
      <sz val="11"/>
      <color rgb="FF000000"/>
      <name val="Inter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3DD4C8"/>
      <name val="Inter"/>
      <family val="0"/>
      <charset val="1"/>
    </font>
    <font>
      <sz val="9"/>
      <color rgb="FF8394B0"/>
      <name val="Inter"/>
      <family val="0"/>
      <charset val="1"/>
    </font>
    <font>
      <i val="true"/>
      <sz val="9"/>
      <color rgb="FF8394B0"/>
      <name val="Inter"/>
      <family val="0"/>
      <charset val="1"/>
    </font>
    <font>
      <b val="true"/>
      <sz val="9"/>
      <color rgb="FF8394B0"/>
      <name val="Inter"/>
      <family val="0"/>
      <charset val="1"/>
    </font>
    <font>
      <b val="true"/>
      <sz val="18"/>
      <color rgb="FF6C8CFF"/>
      <name val="Inter"/>
      <family val="0"/>
      <charset val="1"/>
    </font>
    <font>
      <b val="true"/>
      <sz val="18"/>
      <color rgb="FF2ED47A"/>
      <name val="Inter"/>
      <family val="0"/>
      <charset val="1"/>
    </font>
    <font>
      <b val="true"/>
      <sz val="18"/>
      <color rgb="FFF4B740"/>
      <name val="Inter"/>
      <family val="0"/>
      <charset val="1"/>
    </font>
    <font>
      <b val="true"/>
      <sz val="11"/>
      <color rgb="FF3DD4C8"/>
      <name val="Inter"/>
      <family val="0"/>
      <charset val="1"/>
    </font>
    <font>
      <sz val="8"/>
      <color rgb="FF8394B0"/>
      <name val="Inter"/>
      <family val="0"/>
      <charset val="1"/>
    </font>
    <font>
      <b val="true"/>
      <sz val="9"/>
      <color rgb="FFE8EEF9"/>
      <name val="Inter"/>
      <family val="0"/>
      <charset val="1"/>
    </font>
    <font>
      <i val="true"/>
      <sz val="8"/>
      <color rgb="FF8394B0"/>
      <name val="Inter"/>
      <family val="0"/>
      <charset val="1"/>
    </font>
    <font>
      <b val="true"/>
      <sz val="8"/>
      <color rgb="FF8394B0"/>
      <name val="Inter"/>
      <family val="0"/>
      <charset val="1"/>
    </font>
    <font>
      <b val="true"/>
      <sz val="14"/>
      <color rgb="FF8394B0"/>
      <name val="Inter"/>
      <family val="0"/>
      <charset val="1"/>
    </font>
    <font>
      <b val="true"/>
      <sz val="14"/>
      <color rgb="FFFF5C6C"/>
      <name val="Inter"/>
      <family val="0"/>
      <charset val="1"/>
    </font>
    <font>
      <b val="true"/>
      <sz val="14"/>
      <color rgb="FFE8EEF9"/>
      <name val="Inter"/>
      <family val="0"/>
      <charset val="1"/>
    </font>
    <font>
      <b val="true"/>
      <sz val="14"/>
      <color rgb="FFF4B740"/>
      <name val="Inter"/>
      <family val="0"/>
      <charset val="1"/>
    </font>
    <font>
      <b val="true"/>
      <sz val="13"/>
      <color rgb="FFE8EEF9"/>
      <name val="Inter"/>
      <family val="0"/>
      <charset val="1"/>
    </font>
    <font>
      <b val="true"/>
      <sz val="26"/>
      <color rgb="FFFFFFFF"/>
      <name val="Inter"/>
      <family val="0"/>
      <charset val="1"/>
    </font>
    <font>
      <sz val="11"/>
      <color rgb="FFCFE0F5"/>
      <name val="Inter"/>
      <family val="0"/>
      <charset val="1"/>
    </font>
    <font>
      <b val="true"/>
      <sz val="11"/>
      <color rgb="FF062B61"/>
      <name val="Inter"/>
      <family val="0"/>
      <charset val="1"/>
    </font>
    <font>
      <b val="true"/>
      <sz val="11"/>
      <color rgb="FFFFFFFF"/>
      <name val="Inter"/>
      <family val="0"/>
      <charset val="1"/>
    </font>
    <font>
      <b val="true"/>
      <sz val="10"/>
      <color rgb="FFFFFFFF"/>
      <name val="Inter"/>
      <family val="0"/>
      <charset val="1"/>
    </font>
    <font>
      <sz val="9"/>
      <color rgb="FF223046"/>
      <name val="Inter"/>
      <family val="0"/>
      <charset val="1"/>
    </font>
    <font>
      <sz val="10"/>
      <color rgb="FF000000"/>
      <name val="Inter"/>
      <family val="0"/>
      <charset val="1"/>
    </font>
    <font>
      <i val="true"/>
      <sz val="9"/>
      <color rgb="FF667085"/>
      <name val="Inter"/>
      <family val="0"/>
      <charset val="1"/>
    </font>
    <font>
      <b val="true"/>
      <sz val="18"/>
      <color rgb="FFFFFFFF"/>
      <name val="Inter"/>
      <family val="0"/>
      <charset val="1"/>
    </font>
    <font>
      <b val="true"/>
      <sz val="9"/>
      <color rgb="FFFFFFFF"/>
      <name val="Inter"/>
      <family val="0"/>
      <charset val="1"/>
    </font>
    <font>
      <b val="true"/>
      <sz val="20"/>
      <color rgb="FF062B61"/>
      <name val="Inter"/>
      <family val="0"/>
      <charset val="1"/>
    </font>
    <font>
      <sz val="9"/>
      <color rgb="FF667085"/>
      <name val="Inter"/>
      <family val="0"/>
      <charset val="1"/>
    </font>
    <font>
      <b val="true"/>
      <sz val="10"/>
      <color rgb="FF062B61"/>
      <name val="Inter"/>
      <family val="0"/>
      <charset val="1"/>
    </font>
    <font>
      <b val="true"/>
      <sz val="10"/>
      <color rgb="FF000000"/>
      <name val="Inter"/>
      <family val="0"/>
      <charset val="1"/>
    </font>
    <font>
      <b val="true"/>
      <sz val="9"/>
      <color rgb="FF000000"/>
      <name val="Inter"/>
      <family val="0"/>
      <charset val="1"/>
    </font>
    <font>
      <sz val="10"/>
      <color rgb="FF2E7D32"/>
      <name val="Inter"/>
      <family val="0"/>
      <charset val="1"/>
    </font>
    <font>
      <sz val="10"/>
      <color rgb="FF000000"/>
      <name val="Inter"/>
      <family val="2"/>
    </font>
    <font>
      <b val="true"/>
      <sz val="13"/>
      <color rgb="FFFFFFFF"/>
      <name val="Inter"/>
      <family val="0"/>
      <charset val="1"/>
    </font>
    <font>
      <b val="true"/>
      <sz val="9"/>
      <color rgb="FF062B61"/>
      <name val="Inter"/>
      <family val="0"/>
      <charset val="1"/>
    </font>
    <font>
      <b val="true"/>
      <sz val="9"/>
      <color rgb="FF667085"/>
      <name val="Inter"/>
      <family val="0"/>
      <charset val="1"/>
    </font>
    <font>
      <sz val="10"/>
      <color rgb="FF0050AA"/>
      <name val="Inter"/>
      <family val="0"/>
      <charset val="1"/>
    </font>
    <font>
      <b val="true"/>
      <sz val="10"/>
      <color rgb="FF0050AA"/>
      <name val="Inter"/>
      <family val="0"/>
      <charset val="1"/>
    </font>
    <font>
      <b val="true"/>
      <sz val="10"/>
      <color rgb="FFC0392B"/>
      <name val="Inter"/>
      <family val="0"/>
      <charset val="1"/>
    </font>
    <font>
      <b val="true"/>
      <sz val="9"/>
      <color rgb="FFC0392B"/>
      <name val="Inter"/>
      <family val="0"/>
      <charset val="1"/>
    </font>
    <font>
      <b val="true"/>
      <sz val="10"/>
      <color rgb="FF2E7D32"/>
      <name val="Inter"/>
      <family val="0"/>
      <charset val="1"/>
    </font>
    <font>
      <b val="true"/>
      <sz val="9"/>
      <color rgb="FF2E7D32"/>
      <name val="Inter"/>
      <family val="0"/>
      <charset val="1"/>
    </font>
    <font>
      <sz val="9"/>
      <color rgb="FF2E7D32"/>
      <name val="Inter"/>
      <family val="0"/>
      <charset val="1"/>
    </font>
    <font>
      <sz val="9"/>
      <color rgb="FF0050AA"/>
      <name val="Inter"/>
      <family val="0"/>
      <charset val="1"/>
    </font>
    <font>
      <sz val="9"/>
      <color rgb="FF000000"/>
      <name val="Inter"/>
      <family val="0"/>
      <charset val="1"/>
    </font>
    <font>
      <b val="true"/>
      <sz val="8"/>
      <color rgb="FF000000"/>
      <name val="Inter"/>
      <family val="0"/>
      <charset val="1"/>
    </font>
    <font>
      <sz val="8"/>
      <color rgb="FF667085"/>
      <name val="Inter"/>
      <family val="0"/>
      <charset val="1"/>
    </font>
    <font>
      <b val="true"/>
      <sz val="11"/>
      <color rgb="FF0050AA"/>
      <name val="Inter"/>
      <family val="0"/>
      <charset val="1"/>
    </font>
    <font>
      <b val="true"/>
      <sz val="16"/>
      <color rgb="FF062B61"/>
      <name val="Inter"/>
      <family val="0"/>
      <charset val="1"/>
    </font>
    <font>
      <i val="true"/>
      <sz val="8"/>
      <color rgb="FF667085"/>
      <name val="Inter"/>
      <family val="0"/>
      <charset val="1"/>
    </font>
    <font>
      <b val="true"/>
      <sz val="13"/>
      <color rgb="FF062B61"/>
      <name val="Inter"/>
      <family val="0"/>
      <charset val="1"/>
    </font>
    <font>
      <b val="true"/>
      <sz val="8"/>
      <color rgb="FFFFFFFF"/>
      <name val="Inter"/>
      <family val="0"/>
      <charset val="1"/>
    </font>
    <font>
      <sz val="7"/>
      <color rgb="FFFFFFFF"/>
      <name val="Inter"/>
      <family val="0"/>
      <charset val="1"/>
    </font>
    <font>
      <b val="true"/>
      <sz val="8"/>
      <color rgb="FF062B61"/>
      <name val="Inter"/>
      <family val="0"/>
      <charset val="1"/>
    </font>
    <font>
      <sz val="8"/>
      <color rgb="FF3A3A3A"/>
      <name val="Inter"/>
      <family val="0"/>
      <charset val="1"/>
    </font>
    <font>
      <b val="true"/>
      <sz val="9"/>
      <name val="Inter"/>
      <family val="0"/>
      <charset val="1"/>
    </font>
    <font>
      <b val="true"/>
      <sz val="10"/>
      <name val="Inter"/>
      <family val="0"/>
      <charset val="1"/>
    </font>
    <font>
      <sz val="8"/>
      <color rgb="FFFFFFFF"/>
      <name val="Inter"/>
      <family val="0"/>
      <charset val="1"/>
    </font>
    <font>
      <b val="true"/>
      <sz val="8"/>
      <color rgb="FF667085"/>
      <name val="Inter"/>
      <family val="0"/>
      <charset val="1"/>
    </font>
    <font>
      <sz val="7"/>
      <color rgb="FF667085"/>
      <name val="Inter"/>
      <family val="0"/>
      <charset val="1"/>
    </font>
    <font>
      <sz val="7"/>
      <name val="Inter"/>
      <family val="0"/>
      <charset val="1"/>
    </font>
    <font>
      <sz val="8"/>
      <name val="Inter"/>
      <family val="0"/>
      <charset val="1"/>
    </font>
    <font>
      <sz val="10"/>
      <name val="Inter"/>
      <family val="0"/>
      <charset val="1"/>
    </font>
    <font>
      <b val="true"/>
      <sz val="11"/>
      <color rgb="FF1A1A1A"/>
      <name val="Inter"/>
      <family val="0"/>
      <charset val="1"/>
    </font>
    <font>
      <b val="true"/>
      <sz val="11"/>
      <color rgb="FFC0392B"/>
      <name val="Inter"/>
      <family val="0"/>
      <charset val="1"/>
    </font>
    <font>
      <b val="true"/>
      <sz val="12"/>
      <color rgb="FF062B61"/>
      <name val="Inter"/>
      <family val="0"/>
      <charset val="1"/>
    </font>
    <font>
      <b val="true"/>
      <sz val="11"/>
      <name val="Inter"/>
      <family val="0"/>
      <charset val="1"/>
    </font>
    <font>
      <b val="true"/>
      <sz val="11"/>
      <color rgb="FFE8A33D"/>
      <name val="Inter"/>
      <family val="0"/>
      <charset val="1"/>
    </font>
    <font>
      <b val="true"/>
      <sz val="10"/>
      <color rgb="FF000000"/>
      <name val="Inter"/>
      <family val="2"/>
    </font>
  </fonts>
  <fills count="18">
    <fill>
      <patternFill patternType="none"/>
    </fill>
    <fill>
      <patternFill patternType="gray125"/>
    </fill>
    <fill>
      <patternFill patternType="solid">
        <fgColor rgb="FF0B1220"/>
        <bgColor rgb="FF111C2E"/>
      </patternFill>
    </fill>
    <fill>
      <patternFill patternType="solid">
        <fgColor rgb="FF3DD4C8"/>
        <bgColor rgb="FF2ED47A"/>
      </patternFill>
    </fill>
    <fill>
      <patternFill patternType="solid">
        <fgColor rgb="FF6C8CFF"/>
        <bgColor rgb="FF5B9BD5"/>
      </patternFill>
    </fill>
    <fill>
      <patternFill patternType="solid">
        <fgColor rgb="FF2ED47A"/>
        <bgColor rgb="FF3DD4C8"/>
      </patternFill>
    </fill>
    <fill>
      <patternFill patternType="solid">
        <fgColor rgb="FFF4B740"/>
        <bgColor rgb="FFE8A33D"/>
      </patternFill>
    </fill>
    <fill>
      <patternFill patternType="solid">
        <fgColor rgb="FF111C2E"/>
        <bgColor rgb="FF16233A"/>
      </patternFill>
    </fill>
    <fill>
      <patternFill patternType="solid">
        <fgColor rgb="FF16233A"/>
        <bgColor rgb="FF111C2E"/>
      </patternFill>
    </fill>
    <fill>
      <patternFill patternType="solid">
        <fgColor rgb="FF062B61"/>
        <bgColor rgb="FF16233A"/>
      </patternFill>
    </fill>
    <fill>
      <patternFill patternType="solid">
        <fgColor rgb="FFFFF000"/>
        <bgColor rgb="FFFFC800"/>
      </patternFill>
    </fill>
    <fill>
      <patternFill patternType="solid">
        <fgColor rgb="FFE60A14"/>
        <bgColor rgb="FFC0392B"/>
      </patternFill>
    </fill>
    <fill>
      <patternFill patternType="solid">
        <fgColor rgb="FF0050AA"/>
        <bgColor rgb="FF062B61"/>
      </patternFill>
    </fill>
    <fill>
      <patternFill patternType="solid">
        <fgColor rgb="FF3076C8"/>
        <bgColor rgb="FF2E75C8"/>
      </patternFill>
    </fill>
    <fill>
      <patternFill patternType="solid">
        <fgColor rgb="FFF3F7FD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DCE9F9"/>
        <bgColor rgb="FFD9E2EC"/>
      </patternFill>
    </fill>
    <fill>
      <patternFill patternType="solid">
        <fgColor rgb="FFFFF7D6"/>
        <bgColor rgb="FFF9F9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  <border diagonalUp="false" diagonalDown="false"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0" fillId="8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16" fillId="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7" fillId="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18" fillId="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9" fillId="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20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9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9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4" fillId="1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14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9" fillId="9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0" fillId="1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1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1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1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2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31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1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1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1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4" fontId="34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7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2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5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1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4" fontId="34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7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5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4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7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36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7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78" fontId="36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7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7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25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5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5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36" fillId="1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36" fillId="1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27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27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7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4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4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9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2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4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3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3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1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2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41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34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5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5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4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4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3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6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4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4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4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3" fontId="4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3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4" fontId="3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4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6" fillId="1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47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47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47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35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4" fontId="35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49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1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0" fontId="3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1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35" fillId="1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6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0" fontId="32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85" fontId="3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4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5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9" fillId="1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0" fontId="35" fillId="1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4" fontId="52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6" fontId="52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52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4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4" fontId="2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2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1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41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5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4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41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1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42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52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4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45" fillId="1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3" fillId="1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1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45" fillId="1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45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57" fillId="9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5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8" fontId="59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9" fontId="6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2" fillId="17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6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5" fontId="6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6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6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5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6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6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9" fontId="6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9" fontId="69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0" fontId="6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71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52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9" fontId="72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71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/>
    <dxf/>
    <dxf/>
    <dxf/>
    <dxf/>
    <dxf/>
    <dxf/>
    <dxf/>
    <dxf/>
    <dxf/>
    <dxf/>
    <dxf/>
    <dxf/>
    <dxf/>
  </dxfs>
  <colors>
    <indexedColors>
      <rgbColor rgb="FF000000"/>
      <rgbColor rgb="FFFFFFFF"/>
      <rgbColor rgb="FFE60A14"/>
      <rgbColor rgb="FFCFE0F5"/>
      <rgbColor rgb="FF0000FF"/>
      <rgbColor rgb="FFFFF000"/>
      <rgbColor rgb="FFF3F7FD"/>
      <rgbColor rgb="FF5B9BD5"/>
      <rgbColor rgb="FF800000"/>
      <rgbColor rgb="FF1E7E34"/>
      <rgbColor rgb="FF0B1220"/>
      <rgbColor rgb="FF8394B0"/>
      <rgbColor rgb="FF800080"/>
      <rgbColor rgb="FF2E7D32"/>
      <rgbColor rgb="FFC3CAD6"/>
      <rgbColor rgb="FF878787"/>
      <rgbColor rgb="FF89B7E8"/>
      <rgbColor rgb="FF4F81BD"/>
      <rgbColor rgb="FFFFF7D6"/>
      <rgbColor rgb="FFDCE9F9"/>
      <rgbColor rgb="FF660066"/>
      <rgbColor rgb="FFFF5C6C"/>
      <rgbColor rgb="FF0050AA"/>
      <rgbColor rgb="FFC9D3E0"/>
      <rgbColor rgb="FF1A1A1A"/>
      <rgbColor rgb="FFFF00FF"/>
      <rgbColor rgb="FFF4B740"/>
      <rgbColor rgb="FF9AA5B5"/>
      <rgbColor rgb="FF800080"/>
      <rgbColor rgb="FF800000"/>
      <rgbColor rgb="FF3076C8"/>
      <rgbColor rgb="FF0000FF"/>
      <rgbColor rgb="FF2ED47A"/>
      <rgbColor rgb="FFE8EEF9"/>
      <rgbColor rgb="FFD9E2EC"/>
      <rgbColor rgb="FFF9F9F9"/>
      <rgbColor rgb="FF9FC5F0"/>
      <rgbColor rgb="FFE8A33D"/>
      <rgbColor rgb="FFB3B3B3"/>
      <rgbColor rgb="FFD9D9D9"/>
      <rgbColor rgb="FF2E75C8"/>
      <rgbColor rgb="FF3DD4C8"/>
      <rgbColor rgb="FFC9A227"/>
      <rgbColor rgb="FFFFC800"/>
      <rgbColor rgb="FFF0A500"/>
      <rgbColor rgb="FFE8590C"/>
      <rgbColor rgb="FF667085"/>
      <rgbColor rgb="FF8A94A6"/>
      <rgbColor rgb="FF062B61"/>
      <rgbColor rgb="FF1D9E75"/>
      <rgbColor rgb="FF111C2E"/>
      <rgbColor rgb="FF223046"/>
      <rgbColor rgb="FFC0392B"/>
      <rgbColor rgb="FF6C8CFF"/>
      <rgbColor rgb="FF16233A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Dashboard!C20</c:f>
              <c:strCache>
                <c:ptCount val="1"/>
                <c:pt idx="0">
                  <c:v>Richieste</c:v>
                </c:pt>
              </c:strCache>
            </c:strRef>
          </c:tx>
          <c:spPr>
            <a:solidFill>
              <a:srgbClr val="0050a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Dashboard!$B$21:$B$27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Dashboard!$C$21:$C$27</c:f>
              <c:numCache>
                <c:formatCode>0.0</c:formatCode>
                <c:ptCount val="7"/>
                <c:pt idx="0">
                  <c:v>86.0389547526077</c:v>
                </c:pt>
                <c:pt idx="1">
                  <c:v>69.0285277286757</c:v>
                </c:pt>
                <c:pt idx="2">
                  <c:v>71.6629955425062</c:v>
                </c:pt>
                <c:pt idx="3">
                  <c:v>82.6734225664382</c:v>
                </c:pt>
                <c:pt idx="4">
                  <c:v>79.4149139627091</c:v>
                </c:pt>
                <c:pt idx="5">
                  <c:v>94.187686430776</c:v>
                </c:pt>
                <c:pt idx="6">
                  <c:v>70.7595921010146</c:v>
                </c:pt>
              </c:numCache>
            </c:numRef>
          </c:val>
        </c:ser>
        <c:ser>
          <c:idx val="1"/>
          <c:order val="1"/>
          <c:tx>
            <c:strRef>
              <c:f>Dashboard!D20</c:f>
              <c:strCache>
                <c:ptCount val="1"/>
                <c:pt idx="0">
                  <c:v>Pianificate</c:v>
                </c:pt>
              </c:strCache>
            </c:strRef>
          </c:tx>
          <c:spPr>
            <a:solidFill>
              <a:srgbClr val="ffc8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Dashboard!$B$21:$B$27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Dashboard!$D$21:$D$27</c:f>
              <c:numCache>
                <c:formatCode>0.0</c:formatCode>
                <c:ptCount val="7"/>
                <c:pt idx="0">
                  <c:v>86</c:v>
                </c:pt>
                <c:pt idx="1">
                  <c:v>69</c:v>
                </c:pt>
                <c:pt idx="2">
                  <c:v>71.5</c:v>
                </c:pt>
                <c:pt idx="3">
                  <c:v>82.5</c:v>
                </c:pt>
                <c:pt idx="4">
                  <c:v>79</c:v>
                </c:pt>
                <c:pt idx="5">
                  <c:v>94</c:v>
                </c:pt>
                <c:pt idx="6">
                  <c:v>70.5</c:v>
                </c:pt>
              </c:numCache>
            </c:numRef>
          </c:val>
        </c:ser>
        <c:gapWidth val="60"/>
        <c:overlap val="0"/>
        <c:axId val="65314399"/>
        <c:axId val="3847159"/>
      </c:barChart>
      <c:catAx>
        <c:axId val="653143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  <a:ea typeface="DejaVu Sans"/>
              </a:defRPr>
            </a:pPr>
          </a:p>
        </c:txPr>
        <c:crossAx val="3847159"/>
        <c:crosses val="autoZero"/>
        <c:auto val="1"/>
        <c:lblAlgn val="ctr"/>
        <c:lblOffset val="100"/>
        <c:noMultiLvlLbl val="0"/>
      </c:catAx>
      <c:valAx>
        <c:axId val="38471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  <a:ea typeface="DejaVu Sans"/>
              </a:defRPr>
            </a:pPr>
          </a:p>
        </c:txPr>
        <c:crossAx val="6531439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Inter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tx>
            <c:strRef>
              <c:f>Dashboard!D31</c:f>
              <c:strCache>
                <c:ptCount val="1"/>
                <c:pt idx="0">
                  <c:v>Ore/sett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aa5b5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050aa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0a5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8590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2e75c8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9b7e8"/>
              </a:solidFill>
              <a:ln w="0">
                <a:noFill/>
              </a:ln>
            </c:spPr>
          </c:dPt>
          <c:dPt>
            <c:idx val="6"/>
            <c:spPr>
              <a:solidFill>
                <a:srgbClr val="5b9bd5"/>
              </a:solidFill>
              <a:ln w="0">
                <a:noFill/>
              </a:ln>
            </c:spPr>
          </c:dPt>
          <c:dPt>
            <c:idx val="7"/>
            <c:spPr>
              <a:solidFill>
                <a:srgbClr val="ffc8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c9a22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062b61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e60a14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8a94a6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c3cad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Dashboard!$B$32:$B$44</c:f>
              <c:strCache>
                <c:ptCount val="13"/>
                <c:pt idx="0">
                  <c:v>Controllo scorte e ordini merce</c:v>
                </c:pt>
                <c:pt idx="1">
                  <c:v>Rifornimento FV</c:v>
                </c:pt>
                <c:pt idx="2">
                  <c:v>BAKE: cottura ed esposizione</c:v>
                </c:pt>
                <c:pt idx="3">
                  <c:v>Rifornimento CARNE</c:v>
                </c:pt>
                <c:pt idx="4">
                  <c:v>Rifornimento SECCHI</c:v>
                </c:pt>
                <c:pt idx="5">
                  <c:v>Rifornimento SURGELATI</c:v>
                </c:pt>
                <c:pt idx="6">
                  <c:v>Rifornimento FRESCHI</c:v>
                </c:pt>
                <c:pt idx="7">
                  <c:v>Allestimento PROMO FOOD</c:v>
                </c:pt>
                <c:pt idx="8">
                  <c:v>Allestimento PROMO NF</c:v>
                </c:pt>
                <c:pt idx="9">
                  <c:v>Barriera casse</c:v>
                </c:pt>
                <c:pt idx="10">
                  <c:v>Presidio SCO</c:v>
                </c:pt>
                <c:pt idx="11">
                  <c:v>Attivita fisse giornaliere</c:v>
                </c:pt>
                <c:pt idx="12">
                  <c:v>Attivita settimanali</c:v>
                </c:pt>
              </c:strCache>
            </c:strRef>
          </c:cat>
          <c:val>
            <c:numRef>
              <c:f>Dashboard!$D$32:$D$44</c:f>
              <c:numCache>
                <c:formatCode>0.0</c:formatCode>
                <c:ptCount val="13"/>
                <c:pt idx="0">
                  <c:v>10.5</c:v>
                </c:pt>
                <c:pt idx="1">
                  <c:v>29.4666666666667</c:v>
                </c:pt>
                <c:pt idx="2">
                  <c:v>48.7333333333333</c:v>
                </c:pt>
                <c:pt idx="3">
                  <c:v>8.4722962962963</c:v>
                </c:pt>
                <c:pt idx="4">
                  <c:v>49.4253687315634</c:v>
                </c:pt>
                <c:pt idx="5">
                  <c:v>10.2058666666667</c:v>
                </c:pt>
                <c:pt idx="6">
                  <c:v>23.0826805314847</c:v>
                </c:pt>
                <c:pt idx="7">
                  <c:v>3.76036866359447</c:v>
                </c:pt>
                <c:pt idx="8">
                  <c:v>9.61951219512195</c:v>
                </c:pt>
                <c:pt idx="9">
                  <c:v>190</c:v>
                </c:pt>
                <c:pt idx="10">
                  <c:v>68</c:v>
                </c:pt>
                <c:pt idx="11">
                  <c:v>80.5</c:v>
                </c:pt>
                <c:pt idx="12">
                  <c:v>22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Inter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Volumi!B37</c:f>
              <c:strCache>
                <c:ptCount val="1"/>
                <c:pt idx="0">
                  <c:v>% del giorno</c:v>
                </c:pt>
              </c:strCache>
            </c:strRef>
          </c:tx>
          <c:spPr>
            <a:solidFill>
              <a:srgbClr val="0050aa"/>
            </a:solidFill>
            <a:ln w="28440">
              <a:solidFill>
                <a:srgbClr val="0050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Volumi!$A$38:$A$50</c:f>
              <c:strCache>
                <c:ptCount val="13"/>
                <c:pt idx="0">
                  <c:v>08-09</c:v>
                </c:pt>
                <c:pt idx="1">
                  <c:v>09-10</c:v>
                </c:pt>
                <c:pt idx="2">
                  <c:v>10-11</c:v>
                </c:pt>
                <c:pt idx="3">
                  <c:v>11-12</c:v>
                </c:pt>
                <c:pt idx="4">
                  <c:v>12-13</c:v>
                </c:pt>
                <c:pt idx="5">
                  <c:v>13-14</c:v>
                </c:pt>
                <c:pt idx="6">
                  <c:v>14-15</c:v>
                </c:pt>
                <c:pt idx="7">
                  <c:v>15-16</c:v>
                </c:pt>
                <c:pt idx="8">
                  <c:v>16-17</c:v>
                </c:pt>
                <c:pt idx="9">
                  <c:v>17-18</c:v>
                </c:pt>
                <c:pt idx="10">
                  <c:v>18-19</c:v>
                </c:pt>
                <c:pt idx="11">
                  <c:v>19-20</c:v>
                </c:pt>
                <c:pt idx="12">
                  <c:v>20-21</c:v>
                </c:pt>
              </c:strCache>
            </c:strRef>
          </c:cat>
          <c:val>
            <c:numRef>
              <c:f>Volumi!$B$38:$B$50</c:f>
              <c:numCache>
                <c:formatCode>0.0%</c:formatCode>
                <c:ptCount val="13"/>
                <c:pt idx="0">
                  <c:v>0.052</c:v>
                </c:pt>
                <c:pt idx="1">
                  <c:v>0.073</c:v>
                </c:pt>
                <c:pt idx="2">
                  <c:v>0.094</c:v>
                </c:pt>
                <c:pt idx="3">
                  <c:v>0.104</c:v>
                </c:pt>
                <c:pt idx="4">
                  <c:v>0.083</c:v>
                </c:pt>
                <c:pt idx="5">
                  <c:v>0.073</c:v>
                </c:pt>
                <c:pt idx="6">
                  <c:v>0.062</c:v>
                </c:pt>
                <c:pt idx="7">
                  <c:v>0.062</c:v>
                </c:pt>
                <c:pt idx="8">
                  <c:v>0.073</c:v>
                </c:pt>
                <c:pt idx="9">
                  <c:v>0.094</c:v>
                </c:pt>
                <c:pt idx="10">
                  <c:v>0.104</c:v>
                </c:pt>
                <c:pt idx="11">
                  <c:v>0.083</c:v>
                </c:pt>
                <c:pt idx="12">
                  <c:v>0.043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0744683"/>
        <c:axId val="77582649"/>
      </c:lineChart>
      <c:catAx>
        <c:axId val="707446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  <a:ea typeface="DejaVu Sans"/>
              </a:defRPr>
            </a:pPr>
          </a:p>
        </c:txPr>
        <c:crossAx val="77582649"/>
        <c:crosses val="autoZero"/>
        <c:auto val="1"/>
        <c:lblAlgn val="ctr"/>
        <c:lblOffset val="100"/>
        <c:noMultiLvlLbl val="0"/>
      </c:catAx>
      <c:valAx>
        <c:axId val="775826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  <a:ea typeface="DejaVu Sans"/>
              </a:defRPr>
            </a:pPr>
          </a:p>
        </c:txPr>
        <c:crossAx val="7074468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Copertura!W4</c:f>
              <c:strCache>
                <c:ptCount val="1"/>
                <c:pt idx="0">
                  <c:v>Pres</c:v>
                </c:pt>
              </c:strCache>
            </c:strRef>
          </c:tx>
          <c:spPr>
            <a:solidFill>
              <a:srgbClr val="0050aa"/>
            </a:solidFill>
            <a:ln w="25920">
              <a:solidFill>
                <a:srgbClr val="0050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Copertura!$AE$6:$AE$68</c:f>
              <c:strCache>
                <c:ptCount val="63"/>
                <c:pt idx="0">
                  <c:v>05:30</c:v>
                </c:pt>
                <c:pt idx="1">
                  <c:v>05:45</c:v>
                </c:pt>
                <c:pt idx="2">
                  <c:v>06:00</c:v>
                </c:pt>
                <c:pt idx="3">
                  <c:v>06:15</c:v>
                </c:pt>
                <c:pt idx="4">
                  <c:v>06:30</c:v>
                </c:pt>
                <c:pt idx="5">
                  <c:v>06:45</c:v>
                </c:pt>
                <c:pt idx="6">
                  <c:v>07:00</c:v>
                </c:pt>
                <c:pt idx="7">
                  <c:v>07:15</c:v>
                </c:pt>
                <c:pt idx="8">
                  <c:v>07:30</c:v>
                </c:pt>
                <c:pt idx="9">
                  <c:v>07:45</c:v>
                </c:pt>
                <c:pt idx="10">
                  <c:v>08:00</c:v>
                </c:pt>
                <c:pt idx="11">
                  <c:v>08:15</c:v>
                </c:pt>
                <c:pt idx="12">
                  <c:v>08:30</c:v>
                </c:pt>
                <c:pt idx="13">
                  <c:v>08:45</c:v>
                </c:pt>
                <c:pt idx="14">
                  <c:v>09:00</c:v>
                </c:pt>
                <c:pt idx="15">
                  <c:v>09:15</c:v>
                </c:pt>
                <c:pt idx="16">
                  <c:v>09:30</c:v>
                </c:pt>
                <c:pt idx="17">
                  <c:v>09:45</c:v>
                </c:pt>
                <c:pt idx="18">
                  <c:v>10:00</c:v>
                </c:pt>
                <c:pt idx="19">
                  <c:v>10:15</c:v>
                </c:pt>
                <c:pt idx="20">
                  <c:v>10:30</c:v>
                </c:pt>
                <c:pt idx="21">
                  <c:v>10:45</c:v>
                </c:pt>
                <c:pt idx="22">
                  <c:v>11:00</c:v>
                </c:pt>
                <c:pt idx="23">
                  <c:v>11:15</c:v>
                </c:pt>
                <c:pt idx="24">
                  <c:v>11:30</c:v>
                </c:pt>
                <c:pt idx="25">
                  <c:v>11:45</c:v>
                </c:pt>
                <c:pt idx="26">
                  <c:v>12:00</c:v>
                </c:pt>
                <c:pt idx="27">
                  <c:v>12:15</c:v>
                </c:pt>
                <c:pt idx="28">
                  <c:v>12:30</c:v>
                </c:pt>
                <c:pt idx="29">
                  <c:v>12:45</c:v>
                </c:pt>
                <c:pt idx="30">
                  <c:v>13:00</c:v>
                </c:pt>
                <c:pt idx="31">
                  <c:v>13:15</c:v>
                </c:pt>
                <c:pt idx="32">
                  <c:v>13:30</c:v>
                </c:pt>
                <c:pt idx="33">
                  <c:v>13:45</c:v>
                </c:pt>
                <c:pt idx="34">
                  <c:v>14:00</c:v>
                </c:pt>
                <c:pt idx="35">
                  <c:v>14:15</c:v>
                </c:pt>
                <c:pt idx="36">
                  <c:v>14:30</c:v>
                </c:pt>
                <c:pt idx="37">
                  <c:v>14:45</c:v>
                </c:pt>
                <c:pt idx="38">
                  <c:v>15:00</c:v>
                </c:pt>
                <c:pt idx="39">
                  <c:v>15:15</c:v>
                </c:pt>
                <c:pt idx="40">
                  <c:v>15:30</c:v>
                </c:pt>
                <c:pt idx="41">
                  <c:v>15:45</c:v>
                </c:pt>
                <c:pt idx="42">
                  <c:v>16:00</c:v>
                </c:pt>
                <c:pt idx="43">
                  <c:v>16:15</c:v>
                </c:pt>
                <c:pt idx="44">
                  <c:v>16:30</c:v>
                </c:pt>
                <c:pt idx="45">
                  <c:v>16:45</c:v>
                </c:pt>
                <c:pt idx="46">
                  <c:v>17:00</c:v>
                </c:pt>
                <c:pt idx="47">
                  <c:v>17:15</c:v>
                </c:pt>
                <c:pt idx="48">
                  <c:v>17:30</c:v>
                </c:pt>
                <c:pt idx="49">
                  <c:v>17:45</c:v>
                </c:pt>
                <c:pt idx="50">
                  <c:v>18:00</c:v>
                </c:pt>
                <c:pt idx="51">
                  <c:v>18:15</c:v>
                </c:pt>
                <c:pt idx="52">
                  <c:v>18:30</c:v>
                </c:pt>
                <c:pt idx="53">
                  <c:v>18:45</c:v>
                </c:pt>
                <c:pt idx="54">
                  <c:v>19:00</c:v>
                </c:pt>
                <c:pt idx="55">
                  <c:v>19:15</c:v>
                </c:pt>
                <c:pt idx="56">
                  <c:v>19:30</c:v>
                </c:pt>
                <c:pt idx="57">
                  <c:v>19:45</c:v>
                </c:pt>
                <c:pt idx="58">
                  <c:v>20:00</c:v>
                </c:pt>
                <c:pt idx="59">
                  <c:v>20:15</c:v>
                </c:pt>
                <c:pt idx="60">
                  <c:v>20:30</c:v>
                </c:pt>
                <c:pt idx="61">
                  <c:v>20:45</c:v>
                </c:pt>
                <c:pt idx="62">
                  <c:v>21:00</c:v>
                </c:pt>
              </c:strCache>
            </c:strRef>
          </c:cat>
          <c:val>
            <c:numRef>
              <c:f>Copertura!$W$5:$W$68</c:f>
              <c:numCache>
                <c:formatCode>0</c:formatCode>
                <c:ptCount val="64"/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6</c:v>
                </c:pt>
                <c:pt idx="40">
                  <c:v>6</c:v>
                </c:pt>
                <c:pt idx="41">
                  <c:v>5</c:v>
                </c:pt>
                <c:pt idx="42">
                  <c:v>5</c:v>
                </c:pt>
                <c:pt idx="43">
                  <c:v>6</c:v>
                </c:pt>
                <c:pt idx="44">
                  <c:v>8</c:v>
                </c:pt>
                <c:pt idx="45">
                  <c:v>7</c:v>
                </c:pt>
                <c:pt idx="46">
                  <c:v>7</c:v>
                </c:pt>
                <c:pt idx="47">
                  <c:v>6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Copertura!Y4</c:f>
              <c:strCache>
                <c:ptCount val="1"/>
                <c:pt idx="0">
                  <c:v>Rich</c:v>
                </c:pt>
              </c:strCache>
            </c:strRef>
          </c:tx>
          <c:spPr>
            <a:solidFill>
              <a:srgbClr val="e60a14"/>
            </a:solidFill>
            <a:ln w="25920">
              <a:solidFill>
                <a:srgbClr val="e60a1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Copertura!$AE$6:$AE$68</c:f>
              <c:strCache>
                <c:ptCount val="63"/>
                <c:pt idx="0">
                  <c:v>05:30</c:v>
                </c:pt>
                <c:pt idx="1">
                  <c:v>05:45</c:v>
                </c:pt>
                <c:pt idx="2">
                  <c:v>06:00</c:v>
                </c:pt>
                <c:pt idx="3">
                  <c:v>06:15</c:v>
                </c:pt>
                <c:pt idx="4">
                  <c:v>06:30</c:v>
                </c:pt>
                <c:pt idx="5">
                  <c:v>06:45</c:v>
                </c:pt>
                <c:pt idx="6">
                  <c:v>07:00</c:v>
                </c:pt>
                <c:pt idx="7">
                  <c:v>07:15</c:v>
                </c:pt>
                <c:pt idx="8">
                  <c:v>07:30</c:v>
                </c:pt>
                <c:pt idx="9">
                  <c:v>07:45</c:v>
                </c:pt>
                <c:pt idx="10">
                  <c:v>08:00</c:v>
                </c:pt>
                <c:pt idx="11">
                  <c:v>08:15</c:v>
                </c:pt>
                <c:pt idx="12">
                  <c:v>08:30</c:v>
                </c:pt>
                <c:pt idx="13">
                  <c:v>08:45</c:v>
                </c:pt>
                <c:pt idx="14">
                  <c:v>09:00</c:v>
                </c:pt>
                <c:pt idx="15">
                  <c:v>09:15</c:v>
                </c:pt>
                <c:pt idx="16">
                  <c:v>09:30</c:v>
                </c:pt>
                <c:pt idx="17">
                  <c:v>09:45</c:v>
                </c:pt>
                <c:pt idx="18">
                  <c:v>10:00</c:v>
                </c:pt>
                <c:pt idx="19">
                  <c:v>10:15</c:v>
                </c:pt>
                <c:pt idx="20">
                  <c:v>10:30</c:v>
                </c:pt>
                <c:pt idx="21">
                  <c:v>10:45</c:v>
                </c:pt>
                <c:pt idx="22">
                  <c:v>11:00</c:v>
                </c:pt>
                <c:pt idx="23">
                  <c:v>11:15</c:v>
                </c:pt>
                <c:pt idx="24">
                  <c:v>11:30</c:v>
                </c:pt>
                <c:pt idx="25">
                  <c:v>11:45</c:v>
                </c:pt>
                <c:pt idx="26">
                  <c:v>12:00</c:v>
                </c:pt>
                <c:pt idx="27">
                  <c:v>12:15</c:v>
                </c:pt>
                <c:pt idx="28">
                  <c:v>12:30</c:v>
                </c:pt>
                <c:pt idx="29">
                  <c:v>12:45</c:v>
                </c:pt>
                <c:pt idx="30">
                  <c:v>13:00</c:v>
                </c:pt>
                <c:pt idx="31">
                  <c:v>13:15</c:v>
                </c:pt>
                <c:pt idx="32">
                  <c:v>13:30</c:v>
                </c:pt>
                <c:pt idx="33">
                  <c:v>13:45</c:v>
                </c:pt>
                <c:pt idx="34">
                  <c:v>14:00</c:v>
                </c:pt>
                <c:pt idx="35">
                  <c:v>14:15</c:v>
                </c:pt>
                <c:pt idx="36">
                  <c:v>14:30</c:v>
                </c:pt>
                <c:pt idx="37">
                  <c:v>14:45</c:v>
                </c:pt>
                <c:pt idx="38">
                  <c:v>15:00</c:v>
                </c:pt>
                <c:pt idx="39">
                  <c:v>15:15</c:v>
                </c:pt>
                <c:pt idx="40">
                  <c:v>15:30</c:v>
                </c:pt>
                <c:pt idx="41">
                  <c:v>15:45</c:v>
                </c:pt>
                <c:pt idx="42">
                  <c:v>16:00</c:v>
                </c:pt>
                <c:pt idx="43">
                  <c:v>16:15</c:v>
                </c:pt>
                <c:pt idx="44">
                  <c:v>16:30</c:v>
                </c:pt>
                <c:pt idx="45">
                  <c:v>16:45</c:v>
                </c:pt>
                <c:pt idx="46">
                  <c:v>17:00</c:v>
                </c:pt>
                <c:pt idx="47">
                  <c:v>17:15</c:v>
                </c:pt>
                <c:pt idx="48">
                  <c:v>17:30</c:v>
                </c:pt>
                <c:pt idx="49">
                  <c:v>17:45</c:v>
                </c:pt>
                <c:pt idx="50">
                  <c:v>18:00</c:v>
                </c:pt>
                <c:pt idx="51">
                  <c:v>18:15</c:v>
                </c:pt>
                <c:pt idx="52">
                  <c:v>18:30</c:v>
                </c:pt>
                <c:pt idx="53">
                  <c:v>18:45</c:v>
                </c:pt>
                <c:pt idx="54">
                  <c:v>19:00</c:v>
                </c:pt>
                <c:pt idx="55">
                  <c:v>19:15</c:v>
                </c:pt>
                <c:pt idx="56">
                  <c:v>19:30</c:v>
                </c:pt>
                <c:pt idx="57">
                  <c:v>19:45</c:v>
                </c:pt>
                <c:pt idx="58">
                  <c:v>20:00</c:v>
                </c:pt>
                <c:pt idx="59">
                  <c:v>20:15</c:v>
                </c:pt>
                <c:pt idx="60">
                  <c:v>20:30</c:v>
                </c:pt>
                <c:pt idx="61">
                  <c:v>20:45</c:v>
                </c:pt>
                <c:pt idx="62">
                  <c:v>21:00</c:v>
                </c:pt>
              </c:strCache>
            </c:strRef>
          </c:cat>
          <c:val>
            <c:numRef>
              <c:f>Copertura!$Y$5:$Y$68</c:f>
              <c:numCache>
                <c:formatCode>0</c:formatCode>
                <c:ptCount val="64"/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628132"/>
        <c:axId val="99256655"/>
      </c:lineChart>
      <c:catAx>
        <c:axId val="196281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  <a:ea typeface="DejaVu Sans"/>
              </a:defRPr>
            </a:pPr>
          </a:p>
        </c:txPr>
        <c:crossAx val="99256655"/>
        <c:crosses val="autoZero"/>
        <c:auto val="1"/>
        <c:lblAlgn val="ctr"/>
        <c:lblOffset val="100"/>
        <c:noMultiLvlLbl val="0"/>
      </c:catAx>
      <c:valAx>
        <c:axId val="99256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  <a:ea typeface="DejaVu Sans"/>
              </a:defRPr>
            </a:pPr>
          </a:p>
        </c:txPr>
        <c:crossAx val="1962813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Inter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50a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Volumi!$B$5:$H$5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Volumi!$B$7:$H$7</c:f>
              <c:numCache>
                <c:formatCode>#,##0</c:formatCode>
                <c:ptCount val="7"/>
                <c:pt idx="0">
                  <c:v>18632</c:v>
                </c:pt>
                <c:pt idx="1">
                  <c:v>17136</c:v>
                </c:pt>
                <c:pt idx="2">
                  <c:v>16864</c:v>
                </c:pt>
                <c:pt idx="3">
                  <c:v>18360</c:v>
                </c:pt>
                <c:pt idx="4">
                  <c:v>20400</c:v>
                </c:pt>
                <c:pt idx="5">
                  <c:v>26928</c:v>
                </c:pt>
                <c:pt idx="6">
                  <c:v>17680</c:v>
                </c:pt>
              </c:numCache>
            </c:numRef>
          </c:val>
        </c:ser>
        <c:gapWidth val="60"/>
        <c:overlap val="0"/>
        <c:axId val="17892240"/>
        <c:axId val="45661391"/>
      </c:barChart>
      <c:catAx>
        <c:axId val="178922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  <a:ea typeface="DejaVu Sans"/>
              </a:defRPr>
            </a:pPr>
          </a:p>
        </c:txPr>
        <c:crossAx val="45661391"/>
        <c:crosses val="autoZero"/>
        <c:auto val="1"/>
        <c:lblAlgn val="ctr"/>
        <c:lblOffset val="100"/>
        <c:noMultiLvlLbl val="0"/>
      </c:catAx>
      <c:valAx>
        <c:axId val="456613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  <a:ea typeface="DejaVu Sans"/>
              </a:defRPr>
            </a:pPr>
          </a:p>
        </c:txPr>
        <c:crossAx val="178922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e60a1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Casse!$A$6:$A$18</c:f>
              <c:strCache>
                <c:ptCount val="13"/>
                <c:pt idx="0">
                  <c:v>08-09</c:v>
                </c:pt>
                <c:pt idx="1">
                  <c:v>09-10</c:v>
                </c:pt>
                <c:pt idx="2">
                  <c:v>10-11</c:v>
                </c:pt>
                <c:pt idx="3">
                  <c:v>11-12</c:v>
                </c:pt>
                <c:pt idx="4">
                  <c:v>12-13</c:v>
                </c:pt>
                <c:pt idx="5">
                  <c:v>13-14</c:v>
                </c:pt>
                <c:pt idx="6">
                  <c:v>14-15</c:v>
                </c:pt>
                <c:pt idx="7">
                  <c:v>15-16</c:v>
                </c:pt>
                <c:pt idx="8">
                  <c:v>16-17</c:v>
                </c:pt>
                <c:pt idx="9">
                  <c:v>17-18</c:v>
                </c:pt>
                <c:pt idx="10">
                  <c:v>18-19</c:v>
                </c:pt>
                <c:pt idx="11">
                  <c:v>19-20</c:v>
                </c:pt>
                <c:pt idx="12">
                  <c:v>20-21</c:v>
                </c:pt>
              </c:strCache>
            </c:strRef>
          </c:cat>
          <c:val>
            <c:numRef>
              <c:f>Casse!$G$6:$G$18</c:f>
              <c:numCache>
                <c:formatCode>0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</c:numCache>
            </c:numRef>
          </c:val>
        </c:ser>
        <c:gapWidth val="40"/>
        <c:overlap val="0"/>
        <c:axId val="87401555"/>
        <c:axId val="3382623"/>
      </c:barChart>
      <c:catAx>
        <c:axId val="874015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  <a:ea typeface="DejaVu Sans"/>
              </a:defRPr>
            </a:pPr>
          </a:p>
        </c:txPr>
        <c:crossAx val="3382623"/>
        <c:crosses val="autoZero"/>
        <c:auto val="1"/>
        <c:lblAlgn val="ctr"/>
        <c:lblOffset val="100"/>
        <c:noMultiLvlLbl val="0"/>
      </c:catAx>
      <c:valAx>
        <c:axId val="33826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  <a:ea typeface="DejaVu Sans"/>
              </a:defRPr>
            </a:pPr>
          </a:p>
        </c:txPr>
        <c:crossAx val="874015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OreRichieste!A4</c:f>
              <c:strCache>
                <c:ptCount val="1"/>
                <c:pt idx="0">
                  <c:v>Controllo scorte e ordini merce</c:v>
                </c:pt>
              </c:strCache>
            </c:strRef>
          </c:tx>
          <c:spPr>
            <a:solidFill>
              <a:srgbClr val="9aa5b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OreRichieste!$B$4:$H$4</c:f>
              <c:numCache>
                <c:formatCode>0.0</c:formatCode>
                <c:ptCount val="7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</c:numCache>
            </c:numRef>
          </c:val>
        </c:ser>
        <c:ser>
          <c:idx val="1"/>
          <c:order val="1"/>
          <c:tx>
            <c:strRef>
              <c:f>OreRichieste!A5</c:f>
              <c:strCache>
                <c:ptCount val="1"/>
                <c:pt idx="0">
                  <c:v>Rifornimento FV</c:v>
                </c:pt>
              </c:strCache>
            </c:strRef>
          </c:tx>
          <c:spPr>
            <a:solidFill>
              <a:srgbClr val="0050a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OreRichieste!$B$5:$H$5</c:f>
              <c:numCache>
                <c:formatCode>0.0</c:formatCode>
                <c:ptCount val="7"/>
                <c:pt idx="0">
                  <c:v>4.03693333333333</c:v>
                </c:pt>
                <c:pt idx="1">
                  <c:v>3.7128</c:v>
                </c:pt>
                <c:pt idx="2">
                  <c:v>3.65386666666667</c:v>
                </c:pt>
                <c:pt idx="3">
                  <c:v>3.978</c:v>
                </c:pt>
                <c:pt idx="4">
                  <c:v>4.42</c:v>
                </c:pt>
                <c:pt idx="5">
                  <c:v>5.8344</c:v>
                </c:pt>
                <c:pt idx="6">
                  <c:v>3.83066666666667</c:v>
                </c:pt>
              </c:numCache>
            </c:numRef>
          </c:val>
        </c:ser>
        <c:ser>
          <c:idx val="2"/>
          <c:order val="2"/>
          <c:tx>
            <c:strRef>
              <c:f>OreRichieste!A6</c:f>
              <c:strCache>
                <c:ptCount val="1"/>
                <c:pt idx="0">
                  <c:v>BAKE: cottura ed esposizione</c:v>
                </c:pt>
              </c:strCache>
            </c:strRef>
          </c:tx>
          <c:spPr>
            <a:solidFill>
              <a:srgbClr val="f0a5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OreRichieste!$B$6:$H$6</c:f>
              <c:numCache>
                <c:formatCode>0.0</c:formatCode>
                <c:ptCount val="7"/>
                <c:pt idx="0">
                  <c:v>6.67646666666667</c:v>
                </c:pt>
                <c:pt idx="1">
                  <c:v>6.1404</c:v>
                </c:pt>
                <c:pt idx="2">
                  <c:v>6.04293333333333</c:v>
                </c:pt>
                <c:pt idx="3">
                  <c:v>6.579</c:v>
                </c:pt>
                <c:pt idx="4">
                  <c:v>7.31</c:v>
                </c:pt>
                <c:pt idx="5">
                  <c:v>9.6492</c:v>
                </c:pt>
                <c:pt idx="6">
                  <c:v>6.33533333333334</c:v>
                </c:pt>
              </c:numCache>
            </c:numRef>
          </c:val>
        </c:ser>
        <c:ser>
          <c:idx val="3"/>
          <c:order val="3"/>
          <c:tx>
            <c:strRef>
              <c:f>OreRichieste!A7</c:f>
              <c:strCache>
                <c:ptCount val="1"/>
                <c:pt idx="0">
                  <c:v>Rifornimento CARNE</c:v>
                </c:pt>
              </c:strCache>
            </c:strRef>
          </c:tx>
          <c:spPr>
            <a:solidFill>
              <a:srgbClr val="e8590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OreRichieste!$B$7:$H$7</c:f>
              <c:numCache>
                <c:formatCode>0.0</c:formatCode>
                <c:ptCount val="7"/>
                <c:pt idx="0">
                  <c:v>1.16070459259259</c:v>
                </c:pt>
                <c:pt idx="1">
                  <c:v>1.06750933333333</c:v>
                </c:pt>
                <c:pt idx="2">
                  <c:v>1.05056474074074</c:v>
                </c:pt>
                <c:pt idx="3">
                  <c:v>1.14376</c:v>
                </c:pt>
                <c:pt idx="4">
                  <c:v>1.27084444444444</c:v>
                </c:pt>
                <c:pt idx="5">
                  <c:v>1.67751466666667</c:v>
                </c:pt>
                <c:pt idx="6">
                  <c:v>1.10139851851852</c:v>
                </c:pt>
              </c:numCache>
            </c:numRef>
          </c:val>
        </c:ser>
        <c:ser>
          <c:idx val="4"/>
          <c:order val="4"/>
          <c:tx>
            <c:strRef>
              <c:f>OreRichieste!A8</c:f>
              <c:strCache>
                <c:ptCount val="1"/>
                <c:pt idx="0">
                  <c:v>Rifornimento SECCHI</c:v>
                </c:pt>
              </c:strCache>
            </c:strRef>
          </c:tx>
          <c:spPr>
            <a:solidFill>
              <a:srgbClr val="2e75c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OreRichieste!$B$8:$H$8</c:f>
              <c:numCache>
                <c:formatCode>0.0</c:formatCode>
                <c:ptCount val="7"/>
                <c:pt idx="0">
                  <c:v>6.77127551622419</c:v>
                </c:pt>
                <c:pt idx="1">
                  <c:v>6.22759646017699</c:v>
                </c:pt>
                <c:pt idx="2">
                  <c:v>6.12874572271386</c:v>
                </c:pt>
                <c:pt idx="3">
                  <c:v>6.67242477876106</c:v>
                </c:pt>
                <c:pt idx="4">
                  <c:v>7.41380530973451</c:v>
                </c:pt>
                <c:pt idx="5">
                  <c:v>9.78622300884956</c:v>
                </c:pt>
                <c:pt idx="6">
                  <c:v>6.42529793510325</c:v>
                </c:pt>
              </c:numCache>
            </c:numRef>
          </c:val>
        </c:ser>
        <c:ser>
          <c:idx val="5"/>
          <c:order val="5"/>
          <c:tx>
            <c:strRef>
              <c:f>OreRichieste!A9</c:f>
              <c:strCache>
                <c:ptCount val="1"/>
                <c:pt idx="0">
                  <c:v>Rifornimento SURGELATI</c:v>
                </c:pt>
              </c:strCache>
            </c:strRef>
          </c:tx>
          <c:spPr>
            <a:solidFill>
              <a:srgbClr val="89b7e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OreRichieste!$B$9:$H$9</c:f>
              <c:numCache>
                <c:formatCode>0.0</c:formatCode>
                <c:ptCount val="7"/>
                <c:pt idx="0">
                  <c:v>1.39820373333333</c:v>
                </c:pt>
                <c:pt idx="1">
                  <c:v>1.2859392</c:v>
                </c:pt>
                <c:pt idx="2">
                  <c:v>1.26552746666667</c:v>
                </c:pt>
                <c:pt idx="3">
                  <c:v>1.377792</c:v>
                </c:pt>
                <c:pt idx="4">
                  <c:v>1.53088</c:v>
                </c:pt>
                <c:pt idx="5">
                  <c:v>2.0207616</c:v>
                </c:pt>
                <c:pt idx="6">
                  <c:v>1.32676266666667</c:v>
                </c:pt>
              </c:numCache>
            </c:numRef>
          </c:val>
        </c:ser>
        <c:ser>
          <c:idx val="6"/>
          <c:order val="6"/>
          <c:tx>
            <c:strRef>
              <c:f>OreRichieste!A10</c:f>
              <c:strCache>
                <c:ptCount val="1"/>
                <c:pt idx="0">
                  <c:v>Rifornimento FRESCHI</c:v>
                </c:pt>
              </c:strCache>
            </c:strRef>
          </c:tx>
          <c:spPr>
            <a:solidFill>
              <a:srgbClr val="5b9bd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OreRichieste!$B$10:$H$10</c:f>
              <c:numCache>
                <c:formatCode>0.0</c:formatCode>
                <c:ptCount val="7"/>
                <c:pt idx="0">
                  <c:v>3.1623272328134</c:v>
                </c:pt>
                <c:pt idx="1">
                  <c:v>2.90841774696707</c:v>
                </c:pt>
                <c:pt idx="2">
                  <c:v>2.8622523859041</c:v>
                </c:pt>
                <c:pt idx="3">
                  <c:v>3.11616187175043</c:v>
                </c:pt>
                <c:pt idx="4">
                  <c:v>3.4624020797227</c:v>
                </c:pt>
                <c:pt idx="5">
                  <c:v>4.57037074523397</c:v>
                </c:pt>
                <c:pt idx="6">
                  <c:v>3.00074846909301</c:v>
                </c:pt>
              </c:numCache>
            </c:numRef>
          </c:val>
        </c:ser>
        <c:ser>
          <c:idx val="7"/>
          <c:order val="7"/>
          <c:tx>
            <c:strRef>
              <c:f>OreRichieste!A11</c:f>
              <c:strCache>
                <c:ptCount val="1"/>
                <c:pt idx="0">
                  <c:v>Allestimento PROMO FOOD</c:v>
                </c:pt>
              </c:strCache>
            </c:strRef>
          </c:tx>
          <c:spPr>
            <a:solidFill>
              <a:srgbClr val="ffc8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OreRichieste!$B$11:$H$11</c:f>
              <c:numCache>
                <c:formatCode>0.0</c:formatCode>
                <c:ptCount val="7"/>
                <c:pt idx="0">
                  <c:v>0.515170506912442</c:v>
                </c:pt>
                <c:pt idx="1">
                  <c:v>0.473806451612903</c:v>
                </c:pt>
                <c:pt idx="2">
                  <c:v>0.466285714285714</c:v>
                </c:pt>
                <c:pt idx="3">
                  <c:v>0.507649769585253</c:v>
                </c:pt>
                <c:pt idx="4">
                  <c:v>0.56405529953917</c:v>
                </c:pt>
                <c:pt idx="5">
                  <c:v>0.744552995391705</c:v>
                </c:pt>
                <c:pt idx="6">
                  <c:v>0.488847926267281</c:v>
                </c:pt>
              </c:numCache>
            </c:numRef>
          </c:val>
        </c:ser>
        <c:ser>
          <c:idx val="8"/>
          <c:order val="8"/>
          <c:tx>
            <c:strRef>
              <c:f>OreRichieste!A12</c:f>
              <c:strCache>
                <c:ptCount val="1"/>
                <c:pt idx="0">
                  <c:v>Allestimento PROMO NF</c:v>
                </c:pt>
              </c:strCache>
            </c:strRef>
          </c:tx>
          <c:spPr>
            <a:solidFill>
              <a:srgbClr val="c9a22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OreRichieste!$B$12:$H$12</c:f>
              <c:numCache>
                <c:formatCode>0.0</c:formatCode>
                <c:ptCount val="7"/>
                <c:pt idx="0">
                  <c:v>1.31787317073171</c:v>
                </c:pt>
                <c:pt idx="1">
                  <c:v>1.21205853658537</c:v>
                </c:pt>
                <c:pt idx="2">
                  <c:v>1.19281951219512</c:v>
                </c:pt>
                <c:pt idx="3">
                  <c:v>1.29863414634146</c:v>
                </c:pt>
                <c:pt idx="4">
                  <c:v>1.44292682926829</c:v>
                </c:pt>
                <c:pt idx="5">
                  <c:v>1.90466341463415</c:v>
                </c:pt>
                <c:pt idx="6">
                  <c:v>1.25053658536585</c:v>
                </c:pt>
              </c:numCache>
            </c:numRef>
          </c:val>
        </c:ser>
        <c:ser>
          <c:idx val="9"/>
          <c:order val="9"/>
          <c:tx>
            <c:strRef>
              <c:f>OreRichieste!A13</c:f>
              <c:strCache>
                <c:ptCount val="1"/>
                <c:pt idx="0">
                  <c:v>Barriera casse</c:v>
                </c:pt>
              </c:strCache>
            </c:strRef>
          </c:tx>
          <c:spPr>
            <a:solidFill>
              <a:srgbClr val="062b6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OreRichieste!$B$13:$H$13</c:f>
              <c:numCache>
                <c:formatCode>0.0</c:formatCode>
                <c:ptCount val="7"/>
                <c:pt idx="0">
                  <c:v>27</c:v>
                </c:pt>
                <c:pt idx="1">
                  <c:v>24</c:v>
                </c:pt>
                <c:pt idx="2">
                  <c:v>24</c:v>
                </c:pt>
                <c:pt idx="3">
                  <c:v>27</c:v>
                </c:pt>
                <c:pt idx="4">
                  <c:v>29</c:v>
                </c:pt>
                <c:pt idx="5">
                  <c:v>35</c:v>
                </c:pt>
                <c:pt idx="6">
                  <c:v>24</c:v>
                </c:pt>
              </c:numCache>
            </c:numRef>
          </c:val>
        </c:ser>
        <c:ser>
          <c:idx val="10"/>
          <c:order val="10"/>
          <c:tx>
            <c:strRef>
              <c:f>OreRichieste!A14</c:f>
              <c:strCache>
                <c:ptCount val="1"/>
                <c:pt idx="0">
                  <c:v>Presidio SCO</c:v>
                </c:pt>
              </c:strCache>
            </c:strRef>
          </c:tx>
          <c:spPr>
            <a:solidFill>
              <a:srgbClr val="e60a1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OreRichieste!$B$14:$H$14</c:f>
              <c:numCache>
                <c:formatCode>0.0</c:formatCode>
                <c:ptCount val="7"/>
                <c:pt idx="0">
                  <c:v>10</c:v>
                </c:pt>
                <c:pt idx="1">
                  <c:v>9</c:v>
                </c:pt>
                <c:pt idx="2">
                  <c:v>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</c:ser>
        <c:ser>
          <c:idx val="11"/>
          <c:order val="11"/>
          <c:tx>
            <c:strRef>
              <c:f>OreRichieste!A15</c:f>
              <c:strCache>
                <c:ptCount val="1"/>
                <c:pt idx="0">
                  <c:v>Attivita fisse giornaliere</c:v>
                </c:pt>
              </c:strCache>
            </c:strRef>
          </c:tx>
          <c:spPr>
            <a:solidFill>
              <a:srgbClr val="8a94a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OreRichieste!$B$15:$H$15</c:f>
              <c:numCache>
                <c:formatCode>0.0</c:formatCode>
                <c:ptCount val="7"/>
                <c:pt idx="0">
                  <c:v>11.5</c:v>
                </c:pt>
                <c:pt idx="1">
                  <c:v>11.5</c:v>
                </c:pt>
                <c:pt idx="2">
                  <c:v>11.5</c:v>
                </c:pt>
                <c:pt idx="3">
                  <c:v>11.5</c:v>
                </c:pt>
                <c:pt idx="4">
                  <c:v>11.5</c:v>
                </c:pt>
                <c:pt idx="5">
                  <c:v>11.5</c:v>
                </c:pt>
                <c:pt idx="6">
                  <c:v>11.5</c:v>
                </c:pt>
              </c:numCache>
            </c:numRef>
          </c:val>
        </c:ser>
        <c:ser>
          <c:idx val="12"/>
          <c:order val="12"/>
          <c:tx>
            <c:strRef>
              <c:f>OreRichieste!A16</c:f>
              <c:strCache>
                <c:ptCount val="1"/>
                <c:pt idx="0">
                  <c:v>Attivita settimanali</c:v>
                </c:pt>
              </c:strCache>
            </c:strRef>
          </c:tx>
          <c:spPr>
            <a:solidFill>
              <a:srgbClr val="c3ca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OreRichieste!$B$16:$H$16</c:f>
              <c:numCache>
                <c:formatCode>0.0</c:formatCode>
                <c:ptCount val="7"/>
                <c:pt idx="0">
                  <c:v>11</c:v>
                </c:pt>
                <c:pt idx="1">
                  <c:v>0</c:v>
                </c:pt>
                <c:pt idx="2">
                  <c:v>3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45"/>
        <c:overlap val="100"/>
        <c:axId val="60614044"/>
        <c:axId val="24839060"/>
      </c:barChart>
      <c:catAx>
        <c:axId val="606140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  <a:ea typeface="DejaVu Sans"/>
              </a:defRPr>
            </a:pPr>
          </a:p>
        </c:txPr>
        <c:crossAx val="24839060"/>
        <c:crosses val="autoZero"/>
        <c:auto val="1"/>
        <c:lblAlgn val="ctr"/>
        <c:lblOffset val="100"/>
        <c:noMultiLvlLbl val="0"/>
      </c:catAx>
      <c:valAx>
        <c:axId val="248390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  <a:ea typeface="DejaVu Sans"/>
              </a:defRPr>
            </a:pPr>
          </a:p>
        </c:txPr>
        <c:crossAx val="606140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Inter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Grafici!AO23</c:f>
              <c:strCache>
                <c:ptCount val="1"/>
                <c:pt idx="0">
                  <c:v>Presenti</c:v>
                </c:pt>
              </c:strCache>
            </c:strRef>
          </c:tx>
          <c:spPr>
            <a:solidFill>
              <a:srgbClr val="9fc5f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Grafici!$AN$24:$AN$86</c:f>
              <c:strCache>
                <c:ptCount val="63"/>
                <c:pt idx="0">
                  <c:v>5:30</c:v>
                </c:pt>
                <c:pt idx="1">
                  <c:v>5:45</c:v>
                </c:pt>
                <c:pt idx="2">
                  <c:v>6:00</c:v>
                </c:pt>
                <c:pt idx="3">
                  <c:v>6:15</c:v>
                </c:pt>
                <c:pt idx="4">
                  <c:v>6:30</c:v>
                </c:pt>
                <c:pt idx="5">
                  <c:v>6:45</c:v>
                </c:pt>
                <c:pt idx="6">
                  <c:v>7:00</c:v>
                </c:pt>
                <c:pt idx="7">
                  <c:v>7:15</c:v>
                </c:pt>
                <c:pt idx="8">
                  <c:v>7:30</c:v>
                </c:pt>
                <c:pt idx="9">
                  <c:v>7:45</c:v>
                </c:pt>
                <c:pt idx="10">
                  <c:v>8:00</c:v>
                </c:pt>
                <c:pt idx="11">
                  <c:v>8:15</c:v>
                </c:pt>
                <c:pt idx="12">
                  <c:v>8:30</c:v>
                </c:pt>
                <c:pt idx="13">
                  <c:v>8:45</c:v>
                </c:pt>
                <c:pt idx="14">
                  <c:v>9:00</c:v>
                </c:pt>
                <c:pt idx="15">
                  <c:v>9:15</c:v>
                </c:pt>
                <c:pt idx="16">
                  <c:v>9:30</c:v>
                </c:pt>
                <c:pt idx="17">
                  <c:v>9:45</c:v>
                </c:pt>
                <c:pt idx="18">
                  <c:v>10:00</c:v>
                </c:pt>
                <c:pt idx="19">
                  <c:v>10:15</c:v>
                </c:pt>
                <c:pt idx="20">
                  <c:v>10:30</c:v>
                </c:pt>
                <c:pt idx="21">
                  <c:v>10:45</c:v>
                </c:pt>
                <c:pt idx="22">
                  <c:v>11:00</c:v>
                </c:pt>
                <c:pt idx="23">
                  <c:v>11:15</c:v>
                </c:pt>
                <c:pt idx="24">
                  <c:v>11:30</c:v>
                </c:pt>
                <c:pt idx="25">
                  <c:v>11:45</c:v>
                </c:pt>
                <c:pt idx="26">
                  <c:v>12:00</c:v>
                </c:pt>
                <c:pt idx="27">
                  <c:v>12:15</c:v>
                </c:pt>
                <c:pt idx="28">
                  <c:v>12:30</c:v>
                </c:pt>
                <c:pt idx="29">
                  <c:v>12:45</c:v>
                </c:pt>
                <c:pt idx="30">
                  <c:v>13:00</c:v>
                </c:pt>
                <c:pt idx="31">
                  <c:v>13:15</c:v>
                </c:pt>
                <c:pt idx="32">
                  <c:v>13:30</c:v>
                </c:pt>
                <c:pt idx="33">
                  <c:v>13:45</c:v>
                </c:pt>
                <c:pt idx="34">
                  <c:v>14:00</c:v>
                </c:pt>
                <c:pt idx="35">
                  <c:v>14:15</c:v>
                </c:pt>
                <c:pt idx="36">
                  <c:v>14:30</c:v>
                </c:pt>
                <c:pt idx="37">
                  <c:v>14:45</c:v>
                </c:pt>
                <c:pt idx="38">
                  <c:v>15:00</c:v>
                </c:pt>
                <c:pt idx="39">
                  <c:v>15:15</c:v>
                </c:pt>
                <c:pt idx="40">
                  <c:v>15:30</c:v>
                </c:pt>
                <c:pt idx="41">
                  <c:v>15:45</c:v>
                </c:pt>
                <c:pt idx="42">
                  <c:v>16:00</c:v>
                </c:pt>
                <c:pt idx="43">
                  <c:v>16:15</c:v>
                </c:pt>
                <c:pt idx="44">
                  <c:v>16:30</c:v>
                </c:pt>
                <c:pt idx="45">
                  <c:v>16:45</c:v>
                </c:pt>
                <c:pt idx="46">
                  <c:v>17:00</c:v>
                </c:pt>
                <c:pt idx="47">
                  <c:v>17:15</c:v>
                </c:pt>
                <c:pt idx="48">
                  <c:v>17:30</c:v>
                </c:pt>
                <c:pt idx="49">
                  <c:v>17:45</c:v>
                </c:pt>
                <c:pt idx="50">
                  <c:v>18:00</c:v>
                </c:pt>
                <c:pt idx="51">
                  <c:v>18:15</c:v>
                </c:pt>
                <c:pt idx="52">
                  <c:v>18:30</c:v>
                </c:pt>
                <c:pt idx="53">
                  <c:v>18:45</c:v>
                </c:pt>
                <c:pt idx="54">
                  <c:v>19:00</c:v>
                </c:pt>
                <c:pt idx="55">
                  <c:v>19:15</c:v>
                </c:pt>
                <c:pt idx="56">
                  <c:v>19:30</c:v>
                </c:pt>
                <c:pt idx="57">
                  <c:v>19:45</c:v>
                </c:pt>
                <c:pt idx="58">
                  <c:v>20:00</c:v>
                </c:pt>
                <c:pt idx="59">
                  <c:v>20:15</c:v>
                </c:pt>
                <c:pt idx="60">
                  <c:v>20:30</c:v>
                </c:pt>
                <c:pt idx="61">
                  <c:v>20:45</c:v>
                </c:pt>
                <c:pt idx="62">
                  <c:v>21:00</c:v>
                </c:pt>
              </c:strCache>
            </c:strRef>
          </c:cat>
          <c:val>
            <c:numRef>
              <c:f>Grafici!$AO$24:$AO$86</c:f>
              <c:numCache>
                <c:formatCode>0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5</c:v>
                </c:pt>
                <c:pt idx="36">
                  <c:v>4</c:v>
                </c:pt>
                <c:pt idx="37">
                  <c:v>5</c:v>
                </c:pt>
                <c:pt idx="38">
                  <c:v>6</c:v>
                </c:pt>
                <c:pt idx="39">
                  <c:v>6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6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</c:numCache>
            </c:numRef>
          </c:val>
        </c:ser>
        <c:gapWidth val="20"/>
        <c:overlap val="0"/>
        <c:axId val="12421234"/>
        <c:axId val="63890215"/>
      </c:barChart>
      <c:lineChart>
        <c:grouping val="standard"/>
        <c:varyColors val="0"/>
        <c:ser>
          <c:idx val="1"/>
          <c:order val="1"/>
          <c:tx>
            <c:strRef>
              <c:f>Grafici!AP23</c:f>
              <c:strCache>
                <c:ptCount val="1"/>
                <c:pt idx="0">
                  <c:v>Richiesti</c:v>
                </c:pt>
              </c:strCache>
            </c:strRef>
          </c:tx>
          <c:spPr>
            <a:solidFill>
              <a:srgbClr val="c0392b"/>
            </a:solidFill>
            <a:ln w="2196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Grafici!$AN$24:$AN$86</c:f>
              <c:strCache>
                <c:ptCount val="63"/>
                <c:pt idx="0">
                  <c:v>5:30</c:v>
                </c:pt>
                <c:pt idx="1">
                  <c:v>5:45</c:v>
                </c:pt>
                <c:pt idx="2">
                  <c:v>6:00</c:v>
                </c:pt>
                <c:pt idx="3">
                  <c:v>6:15</c:v>
                </c:pt>
                <c:pt idx="4">
                  <c:v>6:30</c:v>
                </c:pt>
                <c:pt idx="5">
                  <c:v>6:45</c:v>
                </c:pt>
                <c:pt idx="6">
                  <c:v>7:00</c:v>
                </c:pt>
                <c:pt idx="7">
                  <c:v>7:15</c:v>
                </c:pt>
                <c:pt idx="8">
                  <c:v>7:30</c:v>
                </c:pt>
                <c:pt idx="9">
                  <c:v>7:45</c:v>
                </c:pt>
                <c:pt idx="10">
                  <c:v>8:00</c:v>
                </c:pt>
                <c:pt idx="11">
                  <c:v>8:15</c:v>
                </c:pt>
                <c:pt idx="12">
                  <c:v>8:30</c:v>
                </c:pt>
                <c:pt idx="13">
                  <c:v>8:45</c:v>
                </c:pt>
                <c:pt idx="14">
                  <c:v>9:00</c:v>
                </c:pt>
                <c:pt idx="15">
                  <c:v>9:15</c:v>
                </c:pt>
                <c:pt idx="16">
                  <c:v>9:30</c:v>
                </c:pt>
                <c:pt idx="17">
                  <c:v>9:45</c:v>
                </c:pt>
                <c:pt idx="18">
                  <c:v>10:00</c:v>
                </c:pt>
                <c:pt idx="19">
                  <c:v>10:15</c:v>
                </c:pt>
                <c:pt idx="20">
                  <c:v>10:30</c:v>
                </c:pt>
                <c:pt idx="21">
                  <c:v>10:45</c:v>
                </c:pt>
                <c:pt idx="22">
                  <c:v>11:00</c:v>
                </c:pt>
                <c:pt idx="23">
                  <c:v>11:15</c:v>
                </c:pt>
                <c:pt idx="24">
                  <c:v>11:30</c:v>
                </c:pt>
                <c:pt idx="25">
                  <c:v>11:45</c:v>
                </c:pt>
                <c:pt idx="26">
                  <c:v>12:00</c:v>
                </c:pt>
                <c:pt idx="27">
                  <c:v>12:15</c:v>
                </c:pt>
                <c:pt idx="28">
                  <c:v>12:30</c:v>
                </c:pt>
                <c:pt idx="29">
                  <c:v>12:45</c:v>
                </c:pt>
                <c:pt idx="30">
                  <c:v>13:00</c:v>
                </c:pt>
                <c:pt idx="31">
                  <c:v>13:15</c:v>
                </c:pt>
                <c:pt idx="32">
                  <c:v>13:30</c:v>
                </c:pt>
                <c:pt idx="33">
                  <c:v>13:45</c:v>
                </c:pt>
                <c:pt idx="34">
                  <c:v>14:00</c:v>
                </c:pt>
                <c:pt idx="35">
                  <c:v>14:15</c:v>
                </c:pt>
                <c:pt idx="36">
                  <c:v>14:30</c:v>
                </c:pt>
                <c:pt idx="37">
                  <c:v>14:45</c:v>
                </c:pt>
                <c:pt idx="38">
                  <c:v>15:00</c:v>
                </c:pt>
                <c:pt idx="39">
                  <c:v>15:15</c:v>
                </c:pt>
                <c:pt idx="40">
                  <c:v>15:30</c:v>
                </c:pt>
                <c:pt idx="41">
                  <c:v>15:45</c:v>
                </c:pt>
                <c:pt idx="42">
                  <c:v>16:00</c:v>
                </c:pt>
                <c:pt idx="43">
                  <c:v>16:15</c:v>
                </c:pt>
                <c:pt idx="44">
                  <c:v>16:30</c:v>
                </c:pt>
                <c:pt idx="45">
                  <c:v>16:45</c:v>
                </c:pt>
                <c:pt idx="46">
                  <c:v>17:00</c:v>
                </c:pt>
                <c:pt idx="47">
                  <c:v>17:15</c:v>
                </c:pt>
                <c:pt idx="48">
                  <c:v>17:30</c:v>
                </c:pt>
                <c:pt idx="49">
                  <c:v>17:45</c:v>
                </c:pt>
                <c:pt idx="50">
                  <c:v>18:00</c:v>
                </c:pt>
                <c:pt idx="51">
                  <c:v>18:15</c:v>
                </c:pt>
                <c:pt idx="52">
                  <c:v>18:30</c:v>
                </c:pt>
                <c:pt idx="53">
                  <c:v>18:45</c:v>
                </c:pt>
                <c:pt idx="54">
                  <c:v>19:00</c:v>
                </c:pt>
                <c:pt idx="55">
                  <c:v>19:15</c:v>
                </c:pt>
                <c:pt idx="56">
                  <c:v>19:30</c:v>
                </c:pt>
                <c:pt idx="57">
                  <c:v>19:45</c:v>
                </c:pt>
                <c:pt idx="58">
                  <c:v>20:00</c:v>
                </c:pt>
                <c:pt idx="59">
                  <c:v>20:15</c:v>
                </c:pt>
                <c:pt idx="60">
                  <c:v>20:30</c:v>
                </c:pt>
                <c:pt idx="61">
                  <c:v>20:45</c:v>
                </c:pt>
                <c:pt idx="62">
                  <c:v>21:00</c:v>
                </c:pt>
              </c:strCache>
            </c:strRef>
          </c:cat>
          <c:val>
            <c:numRef>
              <c:f>Grafici!$AP$24:$AP$86</c:f>
              <c:numCache>
                <c:formatCode>0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421234"/>
        <c:axId val="63890215"/>
      </c:lineChart>
      <c:catAx>
        <c:axId val="12421234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  <a:ea typeface="DejaVu Sans"/>
              </a:defRPr>
            </a:pPr>
          </a:p>
        </c:txPr>
        <c:crossAx val="63890215"/>
        <c:crosses val="autoZero"/>
        <c:auto val="1"/>
        <c:lblAlgn val="ctr"/>
        <c:lblOffset val="100"/>
        <c:noMultiLvlLbl val="0"/>
      </c:catAx>
      <c:valAx>
        <c:axId val="63890215"/>
        <c:scaling>
          <c:orientation val="minMax"/>
        </c:scaling>
        <c:delete val="0"/>
        <c:axPos val="l"/>
        <c:majorGridlines>
          <c:spPr>
            <a:ln w="936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Inter"/>
                    <a:ea typeface="DejaVu Sans"/>
                  </a:rPr>
                  <a:t>persone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  <a:ea typeface="DejaVu Sans"/>
              </a:defRPr>
            </a:pPr>
          </a:p>
        </c:txPr>
        <c:crossAx val="124212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Inter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stacked"/>
        <c:varyColors val="0"/>
        <c:ser>
          <c:idx val="0"/>
          <c:order val="0"/>
          <c:tx>
            <c:strRef>
              <c:f>Grafici!AS23</c:f>
              <c:strCache>
                <c:ptCount val="1"/>
                <c:pt idx="0">
                  <c:v>Inizio (h)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Grafici!$AR$24:$AR$45</c:f>
              <c:strCache>
                <c:ptCount val="22"/>
                <c:pt idx="0">
                  <c:v>DE PICCOLI</c:v>
                </c:pt>
                <c:pt idx="1">
                  <c:v>DA PARE’</c:v>
                </c:pt>
                <c:pt idx="2">
                  <c:v>DE PELLEGRIN</c:v>
                </c:pt>
                <c:pt idx="3">
                  <c:v>DUBON</c:v>
                </c:pt>
                <c:pt idx="4">
                  <c:v>MUNERATI</c:v>
                </c:pt>
                <c:pt idx="5">
                  <c:v>SEGAT</c:v>
                </c:pt>
                <c:pt idx="6">
                  <c:v>ANDREOLI</c:v>
                </c:pt>
                <c:pt idx="7">
                  <c:v>BELLUCCO</c:v>
                </c:pt>
                <c:pt idx="8">
                  <c:v>BUORO</c:v>
                </c:pt>
                <c:pt idx="9">
                  <c:v>CANOVA</c:v>
                </c:pt>
                <c:pt idx="10">
                  <c:v>CHIERZI</c:v>
                </c:pt>
                <c:pt idx="11">
                  <c:v>BUGRYM</c:v>
                </c:pt>
                <c:pt idx="12">
                  <c:v>DAL ZOT</c:v>
                </c:pt>
                <c:pt idx="13">
                  <c:v>DE NARDIN</c:v>
                </c:pt>
                <c:pt idx="14">
                  <c:v>DE VIDO</c:v>
                </c:pt>
                <c:pt idx="15">
                  <c:v>GALLINA</c:v>
                </c:pt>
                <c:pt idx="16">
                  <c:v>MARZANO</c:v>
                </c:pt>
                <c:pt idx="17">
                  <c:v>RIGONI</c:v>
                </c:pt>
                <c:pt idx="18">
                  <c:v>SCHENA</c:v>
                </c:pt>
                <c:pt idx="19">
                  <c:v>TAMBURLIN</c:v>
                </c:pt>
                <c:pt idx="20">
                  <c:v>#REF!</c:v>
                </c:pt>
                <c:pt idx="21">
                  <c:v>Totale</c:v>
                </c:pt>
              </c:strCache>
            </c:strRef>
          </c:cat>
          <c:val>
            <c:numRef>
              <c:f>Grafici!$AS$24:$AS$45</c:f>
              <c:numCache>
                <c:formatCode>0.00</c:formatCode>
                <c:ptCount val="22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14.25</c:v>
                </c:pt>
                <c:pt idx="4">
                  <c:v>0</c:v>
                </c:pt>
                <c:pt idx="5">
                  <c:v>6</c:v>
                </c:pt>
                <c:pt idx="6">
                  <c:v>11.5</c:v>
                </c:pt>
                <c:pt idx="7">
                  <c:v>15</c:v>
                </c:pt>
                <c:pt idx="8">
                  <c:v>13</c:v>
                </c:pt>
                <c:pt idx="9">
                  <c:v>8.5</c:v>
                </c:pt>
                <c:pt idx="10">
                  <c:v>0</c:v>
                </c:pt>
                <c:pt idx="11">
                  <c:v>14.75</c:v>
                </c:pt>
                <c:pt idx="12">
                  <c:v>16.25</c:v>
                </c:pt>
                <c:pt idx="13">
                  <c:v>6</c:v>
                </c:pt>
                <c:pt idx="14">
                  <c:v>6</c:v>
                </c:pt>
                <c:pt idx="15">
                  <c:v>0</c:v>
                </c:pt>
                <c:pt idx="16">
                  <c:v>0</c:v>
                </c:pt>
                <c:pt idx="17">
                  <c:v>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</c:ser>
        <c:ser>
          <c:idx val="1"/>
          <c:order val="1"/>
          <c:tx>
            <c:strRef>
              <c:f>Grafici!AT23</c:f>
              <c:strCache>
                <c:ptCount val="1"/>
                <c:pt idx="0">
                  <c:v>Durata (h)</c:v>
                </c:pt>
              </c:strCache>
            </c:strRef>
          </c:tx>
          <c:spPr>
            <a:solidFill>
              <a:srgbClr val="1d9e7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Grafici!$AR$24:$AR$45</c:f>
              <c:strCache>
                <c:ptCount val="22"/>
                <c:pt idx="0">
                  <c:v>DE PICCOLI</c:v>
                </c:pt>
                <c:pt idx="1">
                  <c:v>DA PARE’</c:v>
                </c:pt>
                <c:pt idx="2">
                  <c:v>DE PELLEGRIN</c:v>
                </c:pt>
                <c:pt idx="3">
                  <c:v>DUBON</c:v>
                </c:pt>
                <c:pt idx="4">
                  <c:v>MUNERATI</c:v>
                </c:pt>
                <c:pt idx="5">
                  <c:v>SEGAT</c:v>
                </c:pt>
                <c:pt idx="6">
                  <c:v>ANDREOLI</c:v>
                </c:pt>
                <c:pt idx="7">
                  <c:v>BELLUCCO</c:v>
                </c:pt>
                <c:pt idx="8">
                  <c:v>BUORO</c:v>
                </c:pt>
                <c:pt idx="9">
                  <c:v>CANOVA</c:v>
                </c:pt>
                <c:pt idx="10">
                  <c:v>CHIERZI</c:v>
                </c:pt>
                <c:pt idx="11">
                  <c:v>BUGRYM</c:v>
                </c:pt>
                <c:pt idx="12">
                  <c:v>DAL ZOT</c:v>
                </c:pt>
                <c:pt idx="13">
                  <c:v>DE NARDIN</c:v>
                </c:pt>
                <c:pt idx="14">
                  <c:v>DE VIDO</c:v>
                </c:pt>
                <c:pt idx="15">
                  <c:v>GALLINA</c:v>
                </c:pt>
                <c:pt idx="16">
                  <c:v>MARZANO</c:v>
                </c:pt>
                <c:pt idx="17">
                  <c:v>RIGONI</c:v>
                </c:pt>
                <c:pt idx="18">
                  <c:v>SCHENA</c:v>
                </c:pt>
                <c:pt idx="19">
                  <c:v>TAMBURLIN</c:v>
                </c:pt>
                <c:pt idx="20">
                  <c:v>#REF!</c:v>
                </c:pt>
                <c:pt idx="21">
                  <c:v>Totale</c:v>
                </c:pt>
              </c:strCache>
            </c:strRef>
          </c:cat>
          <c:val>
            <c:numRef>
              <c:f>Grafici!$AT$24:$AT$45</c:f>
              <c:numCache>
                <c:formatCode>0.00</c:formatCode>
                <c:ptCount val="22"/>
                <c:pt idx="0">
                  <c:v>7.5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0</c:v>
                </c:pt>
                <c:pt idx="11">
                  <c:v>6.5</c:v>
                </c:pt>
                <c:pt idx="12">
                  <c:v>5</c:v>
                </c:pt>
                <c:pt idx="13">
                  <c:v>5.5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</c:ser>
        <c:gapWidth val="40"/>
        <c:overlap val="100"/>
        <c:axId val="96993349"/>
        <c:axId val="15205448"/>
      </c:barChart>
      <c:catAx>
        <c:axId val="969933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  <a:ea typeface="DejaVu Sans"/>
              </a:defRPr>
            </a:pPr>
          </a:p>
        </c:txPr>
        <c:crossAx val="15205448"/>
        <c:crosses val="autoZero"/>
        <c:auto val="1"/>
        <c:lblAlgn val="ctr"/>
        <c:lblOffset val="100"/>
        <c:noMultiLvlLbl val="0"/>
      </c:catAx>
      <c:valAx>
        <c:axId val="15205448"/>
        <c:scaling>
          <c:orientation val="minMax"/>
          <c:max val="22"/>
          <c:min val="5"/>
        </c:scaling>
        <c:delete val="0"/>
        <c:axPos val="l"/>
        <c:majorGridlines>
          <c:spPr>
            <a:ln w="936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Inter"/>
                    <a:ea typeface="DejaVu Sans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Inter"/>
                    <a:ea typeface="DejaVu Sans"/>
                  </a:rPr>
                  <a:t>ora del giorno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  <a:ea typeface="DejaVu Sans"/>
              </a:defRPr>
            </a:pPr>
          </a:p>
        </c:txPr>
        <c:crossAx val="969933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360</xdr:colOff>
      <xdr:row>17</xdr:row>
      <xdr:rowOff>78480</xdr:rowOff>
    </xdr:from>
    <xdr:to>
      <xdr:col>17</xdr:col>
      <xdr:colOff>69480</xdr:colOff>
      <xdr:row>31</xdr:row>
      <xdr:rowOff>25920</xdr:rowOff>
    </xdr:to>
    <xdr:graphicFrame>
      <xdr:nvGraphicFramePr>
        <xdr:cNvPr id="0" name="Chart 1"/>
        <xdr:cNvGraphicFramePr/>
      </xdr:nvGraphicFramePr>
      <xdr:xfrm>
        <a:off x="9878400" y="3907440"/>
        <a:ext cx="7007040" cy="2728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360</xdr:colOff>
      <xdr:row>28</xdr:row>
      <xdr:rowOff>78120</xdr:rowOff>
    </xdr:from>
    <xdr:to>
      <xdr:col>17</xdr:col>
      <xdr:colOff>69480</xdr:colOff>
      <xdr:row>45</xdr:row>
      <xdr:rowOff>87120</xdr:rowOff>
    </xdr:to>
    <xdr:graphicFrame>
      <xdr:nvGraphicFramePr>
        <xdr:cNvPr id="1" name="Chart 2"/>
        <xdr:cNvGraphicFramePr/>
      </xdr:nvGraphicFramePr>
      <xdr:xfrm>
        <a:off x="9878400" y="6059880"/>
        <a:ext cx="7007040" cy="3304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360</xdr:colOff>
      <xdr:row>45</xdr:row>
      <xdr:rowOff>78480</xdr:rowOff>
    </xdr:from>
    <xdr:to>
      <xdr:col>17</xdr:col>
      <xdr:colOff>69480</xdr:colOff>
      <xdr:row>58</xdr:row>
      <xdr:rowOff>72360</xdr:rowOff>
    </xdr:to>
    <xdr:graphicFrame>
      <xdr:nvGraphicFramePr>
        <xdr:cNvPr id="2" name="Chart 3"/>
        <xdr:cNvGraphicFramePr/>
      </xdr:nvGraphicFramePr>
      <xdr:xfrm>
        <a:off x="9878400" y="9355680"/>
        <a:ext cx="7007040" cy="258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30</xdr:col>
      <xdr:colOff>356760</xdr:colOff>
      <xdr:row>19</xdr:row>
      <xdr:rowOff>184680</xdr:rowOff>
    </xdr:from>
    <xdr:to>
      <xdr:col>42</xdr:col>
      <xdr:colOff>281160</xdr:colOff>
      <xdr:row>35</xdr:row>
      <xdr:rowOff>82080</xdr:rowOff>
    </xdr:to>
    <xdr:graphicFrame>
      <xdr:nvGraphicFramePr>
        <xdr:cNvPr id="3" name="Chart 1"/>
        <xdr:cNvGraphicFramePr/>
      </xdr:nvGraphicFramePr>
      <xdr:xfrm>
        <a:off x="16742160" y="3918600"/>
        <a:ext cx="9026640" cy="294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4</xdr:row>
      <xdr:rowOff>0</xdr:rowOff>
    </xdr:from>
    <xdr:to>
      <xdr:col>17</xdr:col>
      <xdr:colOff>572040</xdr:colOff>
      <xdr:row>16</xdr:row>
      <xdr:rowOff>25560</xdr:rowOff>
    </xdr:to>
    <xdr:graphicFrame>
      <xdr:nvGraphicFramePr>
        <xdr:cNvPr id="4" name="Chart 1"/>
        <xdr:cNvGraphicFramePr/>
      </xdr:nvGraphicFramePr>
      <xdr:xfrm>
        <a:off x="10731960" y="952560"/>
        <a:ext cx="5968440" cy="2368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4</xdr:row>
      <xdr:rowOff>0</xdr:rowOff>
    </xdr:from>
    <xdr:to>
      <xdr:col>17</xdr:col>
      <xdr:colOff>572040</xdr:colOff>
      <xdr:row>16</xdr:row>
      <xdr:rowOff>154800</xdr:rowOff>
    </xdr:to>
    <xdr:graphicFrame>
      <xdr:nvGraphicFramePr>
        <xdr:cNvPr id="5" name="Chart 1"/>
        <xdr:cNvGraphicFramePr/>
      </xdr:nvGraphicFramePr>
      <xdr:xfrm>
        <a:off x="10392480" y="895320"/>
        <a:ext cx="5968080" cy="244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360</xdr:colOff>
      <xdr:row>2</xdr:row>
      <xdr:rowOff>360</xdr:rowOff>
    </xdr:from>
    <xdr:to>
      <xdr:col>21</xdr:col>
      <xdr:colOff>106560</xdr:colOff>
      <xdr:row>20</xdr:row>
      <xdr:rowOff>35280</xdr:rowOff>
    </xdr:to>
    <xdr:graphicFrame>
      <xdr:nvGraphicFramePr>
        <xdr:cNvPr id="6" name="Chart 1"/>
        <xdr:cNvGraphicFramePr/>
      </xdr:nvGraphicFramePr>
      <xdr:xfrm>
        <a:off x="10748520" y="514800"/>
        <a:ext cx="8586000" cy="3444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55440</xdr:rowOff>
    </xdr:from>
    <xdr:to>
      <xdr:col>30</xdr:col>
      <xdr:colOff>110520</xdr:colOff>
      <xdr:row>35</xdr:row>
      <xdr:rowOff>72360</xdr:rowOff>
    </xdr:to>
    <xdr:graphicFrame>
      <xdr:nvGraphicFramePr>
        <xdr:cNvPr id="7" name="Chart 1"/>
        <xdr:cNvGraphicFramePr/>
      </xdr:nvGraphicFramePr>
      <xdr:xfrm>
        <a:off x="770760" y="3979800"/>
        <a:ext cx="11757960" cy="287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55080</xdr:rowOff>
    </xdr:from>
    <xdr:to>
      <xdr:col>24</xdr:col>
      <xdr:colOff>23040</xdr:colOff>
      <xdr:row>59</xdr:row>
      <xdr:rowOff>164160</xdr:rowOff>
    </xdr:to>
    <xdr:graphicFrame>
      <xdr:nvGraphicFramePr>
        <xdr:cNvPr id="8" name="Chart 2"/>
        <xdr:cNvGraphicFramePr/>
      </xdr:nvGraphicFramePr>
      <xdr:xfrm>
        <a:off x="770760" y="7218000"/>
        <a:ext cx="9967320" cy="4309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0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29" activeCellId="0" sqref="B29"/>
    </sheetView>
  </sheetViews>
  <sheetFormatPr defaultColWidth="8.5390625" defaultRowHeight="15" zeroHeight="false" outlineLevelRow="0" outlineLevelCol="0"/>
  <cols>
    <col collapsed="false" customWidth="false" hidden="false" outlineLevel="0" max="20" min="1" style="1" width="8.51"/>
    <col collapsed="false" customWidth="true" hidden="false" outlineLevel="0" max="1025" min="21" style="1" width="8.67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9.5" hidden="false" customHeight="true" outlineLevel="0" collapsed="false">
      <c r="A2" s="2"/>
      <c r="B2" s="3" t="s">
        <v>0</v>
      </c>
      <c r="C2" s="3"/>
      <c r="D2" s="3"/>
      <c r="E2" s="3"/>
      <c r="F2" s="3"/>
      <c r="G2" s="3"/>
      <c r="H2" s="3"/>
      <c r="I2" s="2"/>
      <c r="J2" s="2"/>
      <c r="K2" s="2"/>
      <c r="L2" s="2"/>
      <c r="M2" s="2"/>
      <c r="N2" s="2"/>
      <c r="O2" s="4" t="s">
        <v>1</v>
      </c>
      <c r="P2" s="4"/>
      <c r="Q2" s="4"/>
      <c r="R2" s="4"/>
      <c r="S2" s="4"/>
      <c r="T2" s="4"/>
    </row>
    <row r="3" customFormat="false" ht="19.5" hidden="false" customHeight="true" outlineLevel="0" collapsed="false">
      <c r="A3" s="2"/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customFormat="false" ht="19.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customFormat="false" ht="3.75" hidden="false" customHeight="true" outlineLevel="0" collapsed="false">
      <c r="A5" s="2"/>
      <c r="B5" s="6"/>
      <c r="C5" s="6"/>
      <c r="D5" s="6"/>
      <c r="E5" s="6"/>
      <c r="F5" s="6"/>
      <c r="G5" s="7"/>
      <c r="H5" s="7"/>
      <c r="I5" s="7"/>
      <c r="J5" s="7"/>
      <c r="K5" s="7"/>
      <c r="L5" s="8"/>
      <c r="M5" s="8"/>
      <c r="N5" s="8"/>
      <c r="O5" s="8"/>
      <c r="P5" s="8"/>
      <c r="Q5" s="9"/>
      <c r="R5" s="9"/>
      <c r="S5" s="9"/>
      <c r="T5" s="9"/>
    </row>
    <row r="6" customFormat="false" ht="19.5" hidden="false" customHeight="true" outlineLevel="0" collapsed="false">
      <c r="A6" s="2"/>
      <c r="B6" s="10" t="s">
        <v>3</v>
      </c>
      <c r="C6" s="10"/>
      <c r="D6" s="10"/>
      <c r="E6" s="10"/>
      <c r="F6" s="10"/>
      <c r="G6" s="10" t="s">
        <v>4</v>
      </c>
      <c r="H6" s="10"/>
      <c r="I6" s="10"/>
      <c r="J6" s="10"/>
      <c r="K6" s="10"/>
      <c r="L6" s="10" t="s">
        <v>5</v>
      </c>
      <c r="M6" s="10"/>
      <c r="N6" s="10"/>
      <c r="O6" s="10"/>
      <c r="P6" s="10"/>
      <c r="Q6" s="10" t="s">
        <v>6</v>
      </c>
      <c r="R6" s="10"/>
      <c r="S6" s="10"/>
      <c r="T6" s="10"/>
    </row>
    <row r="7" customFormat="false" ht="19.5" hidden="false" customHeight="true" outlineLevel="0" collapsed="false">
      <c r="A7" s="2"/>
      <c r="B7" s="11" t="n">
        <f aca="false">Personale!$C$41</f>
        <v>504</v>
      </c>
      <c r="C7" s="11"/>
      <c r="D7" s="11"/>
      <c r="E7" s="11"/>
      <c r="F7" s="11"/>
      <c r="G7" s="12" t="n">
        <f aca="false">OreRichieste!$I$17</f>
        <v>553.766093084728</v>
      </c>
      <c r="H7" s="12"/>
      <c r="I7" s="12"/>
      <c r="J7" s="12"/>
      <c r="K7" s="12"/>
      <c r="L7" s="13" t="n">
        <f aca="false">(Personale!$C$41-Personale!$I$41)/OreRichieste!$I$17</f>
        <v>0.657317240158847</v>
      </c>
      <c r="M7" s="13"/>
      <c r="N7" s="13"/>
      <c r="O7" s="13"/>
      <c r="P7" s="13"/>
      <c r="Q7" s="14" t="n">
        <f aca="false">Personale!$C$41-Personale!$I$41-OreRichieste!$I$17</f>
        <v>-189.766093084728</v>
      </c>
      <c r="R7" s="14"/>
      <c r="S7" s="14"/>
      <c r="T7" s="14"/>
    </row>
    <row r="8" customFormat="false" ht="19.5" hidden="false" customHeight="true" outlineLevel="0" collapsed="false">
      <c r="A8" s="2"/>
      <c r="B8" s="11"/>
      <c r="C8" s="11"/>
      <c r="D8" s="11"/>
      <c r="E8" s="11"/>
      <c r="F8" s="11"/>
      <c r="G8" s="12"/>
      <c r="H8" s="12"/>
      <c r="I8" s="12"/>
      <c r="J8" s="12"/>
      <c r="K8" s="12"/>
      <c r="L8" s="13"/>
      <c r="M8" s="13"/>
      <c r="N8" s="13"/>
      <c r="O8" s="13"/>
      <c r="P8" s="13"/>
      <c r="Q8" s="14"/>
      <c r="R8" s="14"/>
      <c r="S8" s="14"/>
      <c r="T8" s="14"/>
    </row>
    <row r="9" customFormat="false" ht="19.5" hidden="false" customHeight="true" outlineLevel="0" collapsed="false">
      <c r="A9" s="2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</row>
    <row r="10" customFormat="false" ht="19.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customFormat="false" ht="19.5" hidden="false" customHeight="true" outlineLevel="0" collapsed="false">
      <c r="A11" s="2"/>
      <c r="B11" s="16" t="s">
        <v>7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2"/>
      <c r="O11" s="2"/>
      <c r="P11" s="2"/>
      <c r="Q11" s="2"/>
      <c r="R11" s="2"/>
      <c r="S11" s="2"/>
      <c r="T11" s="2"/>
    </row>
    <row r="12" customFormat="false" ht="19.5" hidden="false" customHeight="true" outlineLevel="0" collapsed="false">
      <c r="A12" s="2"/>
      <c r="B12" s="2"/>
      <c r="C12" s="17" t="n">
        <f aca="false">Copertura!$A$6</f>
        <v>0.229166666666667</v>
      </c>
      <c r="D12" s="17" t="n">
        <f aca="false">Copertura!$A$10</f>
        <v>0.270833333333333</v>
      </c>
      <c r="E12" s="17" t="n">
        <f aca="false">Copertura!$A$14</f>
        <v>0.3125</v>
      </c>
      <c r="F12" s="17" t="n">
        <f aca="false">Copertura!$A$18</f>
        <v>0.354166666666667</v>
      </c>
      <c r="G12" s="17" t="n">
        <f aca="false">Copertura!$A$22</f>
        <v>0.395833333333333</v>
      </c>
      <c r="H12" s="17" t="n">
        <f aca="false">Copertura!$A$26</f>
        <v>0.4375</v>
      </c>
      <c r="I12" s="17" t="n">
        <f aca="false">Copertura!$A$30</f>
        <v>0.479166666666667</v>
      </c>
      <c r="J12" s="17" t="n">
        <f aca="false">Copertura!$A$34</f>
        <v>0.520833333333333</v>
      </c>
      <c r="K12" s="17" t="n">
        <f aca="false">Copertura!$A$38</f>
        <v>0.5625</v>
      </c>
      <c r="L12" s="17" t="n">
        <f aca="false">Copertura!$A$42</f>
        <v>0.604166666666667</v>
      </c>
      <c r="M12" s="17" t="n">
        <f aca="false">Copertura!$A$46</f>
        <v>0.645833333333333</v>
      </c>
      <c r="N12" s="17" t="n">
        <f aca="false">Copertura!$A$50</f>
        <v>0.6875</v>
      </c>
      <c r="O12" s="17" t="n">
        <f aca="false">Copertura!$A$54</f>
        <v>0.729166666666667</v>
      </c>
      <c r="P12" s="17" t="n">
        <f aca="false">Copertura!$A$58</f>
        <v>0.770833333333333</v>
      </c>
      <c r="Q12" s="17" t="n">
        <f aca="false">Copertura!$A$62</f>
        <v>0.8125</v>
      </c>
      <c r="R12" s="17" t="n">
        <f aca="false">Copertura!$A$66</f>
        <v>0.854166666666667</v>
      </c>
      <c r="S12" s="2"/>
      <c r="T12" s="2"/>
    </row>
    <row r="13" customFormat="false" ht="19.5" hidden="false" customHeight="true" outlineLevel="0" collapsed="false">
      <c r="A13" s="2"/>
      <c r="B13" s="18" t="s">
        <v>8</v>
      </c>
      <c r="C13" s="19" t="n">
        <f aca="false">MAX(0,Copertura!$E$6-Copertura!$C$6,Copertura!$E$7-Copertura!$C$7,Copertura!$E$8-Copertura!$C$8,Copertura!$E$9-Copertura!$C$9)</f>
        <v>0</v>
      </c>
      <c r="D13" s="19" t="n">
        <f aca="false">MAX(0,Copertura!$E$10-Copertura!$C$10,Copertura!$E$11-Copertura!$C$11,Copertura!$E$12-Copertura!$C$12,Copertura!$E$13-Copertura!$C$13)</f>
        <v>0</v>
      </c>
      <c r="E13" s="19" t="n">
        <f aca="false">MAX(0,Copertura!$E$14-Copertura!$C$14,Copertura!$E$15-Copertura!$C$15,Copertura!$E$16-Copertura!$C$16,Copertura!$E$17-Copertura!$C$17)</f>
        <v>0</v>
      </c>
      <c r="F13" s="19" t="n">
        <f aca="false">MAX(0,Copertura!$E$18-Copertura!$C$18,Copertura!$E$19-Copertura!$C$19,Copertura!$E$20-Copertura!$C$20,Copertura!$E$21-Copertura!$C$21)</f>
        <v>0</v>
      </c>
      <c r="G13" s="19" t="n">
        <f aca="false">MAX(0,Copertura!$E$22-Copertura!$C$22,Copertura!$E$23-Copertura!$C$23,Copertura!$E$24-Copertura!$C$24,Copertura!$E$25-Copertura!$C$25)</f>
        <v>0</v>
      </c>
      <c r="H13" s="19" t="n">
        <f aca="false">MAX(0,Copertura!$E$26-Copertura!$C$26,Copertura!$E$27-Copertura!$C$27,Copertura!$E$28-Copertura!$C$28,Copertura!$E$29-Copertura!$C$29)</f>
        <v>0</v>
      </c>
      <c r="I13" s="19" t="n">
        <f aca="false">MAX(0,Copertura!$E$30-Copertura!$C$30,Copertura!$E$31-Copertura!$C$31,Copertura!$E$32-Copertura!$C$32,Copertura!$E$33-Copertura!$C$33)</f>
        <v>1</v>
      </c>
      <c r="J13" s="19" t="n">
        <f aca="false">MAX(0,Copertura!$E$34-Copertura!$C$34,Copertura!$E$35-Copertura!$C$35,Copertura!$E$36-Copertura!$C$36,Copertura!$E$37-Copertura!$C$37)</f>
        <v>0</v>
      </c>
      <c r="K13" s="19" t="n">
        <f aca="false">MAX(0,Copertura!$E$38-Copertura!$C$38,Copertura!$E$39-Copertura!$C$39,Copertura!$E$40-Copertura!$C$40,Copertura!$E$41-Copertura!$C$41)</f>
        <v>0</v>
      </c>
      <c r="L13" s="19" t="n">
        <f aca="false">MAX(0,Copertura!$E$42-Copertura!$C$42,Copertura!$E$43-Copertura!$C$43,Copertura!$E$44-Copertura!$C$44,Copertura!$E$45-Copertura!$C$45)</f>
        <v>0</v>
      </c>
      <c r="M13" s="19" t="n">
        <f aca="false">MAX(0,Copertura!$E$46-Copertura!$C$46,Copertura!$E$47-Copertura!$C$47,Copertura!$E$48-Copertura!$C$48,Copertura!$E$49-Copertura!$C$49)</f>
        <v>0</v>
      </c>
      <c r="N13" s="19" t="n">
        <f aca="false">MAX(0,Copertura!$E$50-Copertura!$C$50,Copertura!$E$51-Copertura!$C$51,Copertura!$E$52-Copertura!$C$52,Copertura!$E$53-Copertura!$C$53)</f>
        <v>0</v>
      </c>
      <c r="O13" s="19" t="n">
        <f aca="false">MAX(0,Copertura!$E$54-Copertura!$C$54,Copertura!$E$55-Copertura!$C$55,Copertura!$E$56-Copertura!$C$56,Copertura!$E$57-Copertura!$C$57)</f>
        <v>0</v>
      </c>
      <c r="P13" s="19" t="n">
        <f aca="false">MAX(0,Copertura!$E$58-Copertura!$C$58,Copertura!$E$59-Copertura!$C$59,Copertura!$E$60-Copertura!$C$60,Copertura!$E$61-Copertura!$C$61)</f>
        <v>0</v>
      </c>
      <c r="Q13" s="19" t="n">
        <f aca="false">MAX(0,Copertura!$E$62-Copertura!$C$62,Copertura!$E$63-Copertura!$C$63,Copertura!$E$64-Copertura!$C$64,Copertura!$E$65-Copertura!$C$65)</f>
        <v>0</v>
      </c>
      <c r="R13" s="19" t="n">
        <f aca="false">MAX(0,Copertura!$E$66-Copertura!$C$66,Copertura!$E$67-Copertura!$C$67,Copertura!$E$68-Copertura!$C$68)</f>
        <v>0</v>
      </c>
      <c r="S13" s="2"/>
      <c r="T13" s="2"/>
    </row>
    <row r="14" customFormat="false" ht="19.5" hidden="false" customHeight="true" outlineLevel="0" collapsed="false">
      <c r="A14" s="2"/>
      <c r="B14" s="18" t="s">
        <v>9</v>
      </c>
      <c r="C14" s="19" t="n">
        <f aca="false">MAX(0,Copertura!$I$6-Copertura!$G$6,Copertura!$I$7-Copertura!$G$7,Copertura!$I$8-Copertura!$G$8,Copertura!$I$9-Copertura!$G$9)</f>
        <v>0</v>
      </c>
      <c r="D14" s="19" t="n">
        <f aca="false">MAX(0,Copertura!$I$10-Copertura!$G$10,Copertura!$I$11-Copertura!$G$11,Copertura!$I$12-Copertura!$G$12,Copertura!$I$13-Copertura!$G$13)</f>
        <v>0</v>
      </c>
      <c r="E14" s="19" t="n">
        <f aca="false">MAX(0,Copertura!$I$14-Copertura!$G$14,Copertura!$I$15-Copertura!$G$15,Copertura!$I$16-Copertura!$G$16,Copertura!$I$17-Copertura!$G$17)</f>
        <v>0</v>
      </c>
      <c r="F14" s="19" t="n">
        <f aca="false">MAX(0,Copertura!$I$18-Copertura!$G$18,Copertura!$I$19-Copertura!$G$19,Copertura!$I$20-Copertura!$G$20,Copertura!$I$21-Copertura!$G$21)</f>
        <v>0</v>
      </c>
      <c r="G14" s="19" t="n">
        <f aca="false">MAX(0,Copertura!$I$22-Copertura!$G$22,Copertura!$I$23-Copertura!$G$23,Copertura!$I$24-Copertura!$G$24,Copertura!$I$25-Copertura!$G$25)</f>
        <v>0</v>
      </c>
      <c r="H14" s="19" t="n">
        <f aca="false">MAX(0,Copertura!$I$26-Copertura!$G$26,Copertura!$I$27-Copertura!$G$27,Copertura!$I$28-Copertura!$G$28,Copertura!$I$29-Copertura!$G$29)</f>
        <v>0</v>
      </c>
      <c r="I14" s="19" t="n">
        <f aca="false">MAX(0,Copertura!$I$30-Copertura!$G$30,Copertura!$I$31-Copertura!$G$31,Copertura!$I$32-Copertura!$G$32,Copertura!$I$33-Copertura!$G$33)</f>
        <v>0</v>
      </c>
      <c r="J14" s="19" t="n">
        <f aca="false">MAX(0,Copertura!$I$34-Copertura!$G$34,Copertura!$I$35-Copertura!$G$35,Copertura!$I$36-Copertura!$G$36,Copertura!$I$37-Copertura!$G$37)</f>
        <v>0</v>
      </c>
      <c r="K14" s="19" t="n">
        <f aca="false">MAX(0,Copertura!$I$38-Copertura!$G$38,Copertura!$I$39-Copertura!$G$39,Copertura!$I$40-Copertura!$G$40,Copertura!$I$41-Copertura!$G$41)</f>
        <v>0</v>
      </c>
      <c r="L14" s="19" t="n">
        <f aca="false">MAX(0,Copertura!$I$42-Copertura!$G$42,Copertura!$I$43-Copertura!$G$43,Copertura!$I$44-Copertura!$G$44,Copertura!$I$45-Copertura!$G$45)</f>
        <v>1</v>
      </c>
      <c r="M14" s="19" t="n">
        <f aca="false">MAX(0,Copertura!$I$46-Copertura!$G$46,Copertura!$I$47-Copertura!$G$47,Copertura!$I$48-Copertura!$G$48,Copertura!$I$49-Copertura!$G$49)</f>
        <v>0</v>
      </c>
      <c r="N14" s="19" t="n">
        <f aca="false">MAX(0,Copertura!$I$50-Copertura!$G$50,Copertura!$I$51-Copertura!$G$51,Copertura!$I$52-Copertura!$G$52,Copertura!$I$53-Copertura!$G$53)</f>
        <v>0</v>
      </c>
      <c r="O14" s="19" t="n">
        <f aca="false">MAX(0,Copertura!$I$54-Copertura!$G$54,Copertura!$I$55-Copertura!$G$55,Copertura!$I$56-Copertura!$G$56,Copertura!$I$57-Copertura!$G$57)</f>
        <v>0</v>
      </c>
      <c r="P14" s="19" t="n">
        <f aca="false">MAX(0,Copertura!$I$58-Copertura!$G$58,Copertura!$I$59-Copertura!$G$59,Copertura!$I$60-Copertura!$G$60,Copertura!$I$61-Copertura!$G$61)</f>
        <v>0</v>
      </c>
      <c r="Q14" s="19" t="n">
        <f aca="false">MAX(0,Copertura!$I$62-Copertura!$G$62,Copertura!$I$63-Copertura!$G$63,Copertura!$I$64-Copertura!$G$64,Copertura!$I$65-Copertura!$G$65)</f>
        <v>0</v>
      </c>
      <c r="R14" s="19" t="n">
        <f aca="false">MAX(0,Copertura!$I$66-Copertura!$G$66,Copertura!$I$67-Copertura!$G$67,Copertura!$I$68-Copertura!$G$68)</f>
        <v>0</v>
      </c>
      <c r="S14" s="2"/>
      <c r="T14" s="2"/>
    </row>
    <row r="15" customFormat="false" ht="19.5" hidden="false" customHeight="true" outlineLevel="0" collapsed="false">
      <c r="A15" s="2"/>
      <c r="B15" s="18" t="s">
        <v>10</v>
      </c>
      <c r="C15" s="19" t="n">
        <f aca="false">MAX(0,Copertura!$M$6-Copertura!$K$6,Copertura!$M$7-Copertura!$K$7,Copertura!$M$8-Copertura!$K$8,Copertura!$M$9-Copertura!$K$9)</f>
        <v>0</v>
      </c>
      <c r="D15" s="19" t="n">
        <f aca="false">MAX(0,Copertura!$M$10-Copertura!$K$10,Copertura!$M$11-Copertura!$K$11,Copertura!$M$12-Copertura!$K$12,Copertura!$M$13-Copertura!$K$13)</f>
        <v>0</v>
      </c>
      <c r="E15" s="19" t="n">
        <f aca="false">MAX(0,Copertura!$M$14-Copertura!$K$14,Copertura!$M$15-Copertura!$K$15,Copertura!$M$16-Copertura!$K$16,Copertura!$M$17-Copertura!$K$17)</f>
        <v>0</v>
      </c>
      <c r="F15" s="19" t="n">
        <f aca="false">MAX(0,Copertura!$M$18-Copertura!$K$18,Copertura!$M$19-Copertura!$K$19,Copertura!$M$20-Copertura!$K$20,Copertura!$M$21-Copertura!$K$21)</f>
        <v>0</v>
      </c>
      <c r="G15" s="19" t="n">
        <f aca="false">MAX(0,Copertura!$M$22-Copertura!$K$22,Copertura!$M$23-Copertura!$K$23,Copertura!$M$24-Copertura!$K$24,Copertura!$M$25-Copertura!$K$25)</f>
        <v>0</v>
      </c>
      <c r="H15" s="19" t="n">
        <f aca="false">MAX(0,Copertura!$M$26-Copertura!$K$26,Copertura!$M$27-Copertura!$K$27,Copertura!$M$28-Copertura!$K$28,Copertura!$M$29-Copertura!$K$29)</f>
        <v>0</v>
      </c>
      <c r="I15" s="19" t="n">
        <f aca="false">MAX(0,Copertura!$M$30-Copertura!$K$30,Copertura!$M$31-Copertura!$K$31,Copertura!$M$32-Copertura!$K$32,Copertura!$M$33-Copertura!$K$33)</f>
        <v>0</v>
      </c>
      <c r="J15" s="19" t="n">
        <f aca="false">MAX(0,Copertura!$M$34-Copertura!$K$34,Copertura!$M$35-Copertura!$K$35,Copertura!$M$36-Copertura!$K$36,Copertura!$M$37-Copertura!$K$37)</f>
        <v>0</v>
      </c>
      <c r="K15" s="19" t="n">
        <f aca="false">MAX(0,Copertura!$M$38-Copertura!$K$38,Copertura!$M$39-Copertura!$K$39,Copertura!$M$40-Copertura!$K$40,Copertura!$M$41-Copertura!$K$41)</f>
        <v>0</v>
      </c>
      <c r="L15" s="19" t="n">
        <f aca="false">MAX(0,Copertura!$M$42-Copertura!$K$42,Copertura!$M$43-Copertura!$K$43,Copertura!$M$44-Copertura!$K$44,Copertura!$M$45-Copertura!$K$45)</f>
        <v>0</v>
      </c>
      <c r="M15" s="19" t="n">
        <f aca="false">MAX(0,Copertura!$M$46-Copertura!$K$46,Copertura!$M$47-Copertura!$K$47,Copertura!$M$48-Copertura!$K$48,Copertura!$M$49-Copertura!$K$49)</f>
        <v>0</v>
      </c>
      <c r="N15" s="19" t="n">
        <f aca="false">MAX(0,Copertura!$M$50-Copertura!$K$50,Copertura!$M$51-Copertura!$K$51,Copertura!$M$52-Copertura!$K$52,Copertura!$M$53-Copertura!$K$53)</f>
        <v>0</v>
      </c>
      <c r="O15" s="19" t="n">
        <f aca="false">MAX(0,Copertura!$M$54-Copertura!$K$54,Copertura!$M$55-Copertura!$K$55,Copertura!$M$56-Copertura!$K$56,Copertura!$M$57-Copertura!$K$57)</f>
        <v>0</v>
      </c>
      <c r="P15" s="19" t="n">
        <f aca="false">MAX(0,Copertura!$M$58-Copertura!$K$58,Copertura!$M$59-Copertura!$K$59,Copertura!$M$60-Copertura!$K$60,Copertura!$M$61-Copertura!$K$61)</f>
        <v>0</v>
      </c>
      <c r="Q15" s="19" t="n">
        <f aca="false">MAX(0,Copertura!$M$62-Copertura!$K$62,Copertura!$M$63-Copertura!$K$63,Copertura!$M$64-Copertura!$K$64,Copertura!$M$65-Copertura!$K$65)</f>
        <v>0</v>
      </c>
      <c r="R15" s="19" t="n">
        <f aca="false">MAX(0,Copertura!$M$66-Copertura!$K$66,Copertura!$M$67-Copertura!$K$67,Copertura!$M$68-Copertura!$K$68)</f>
        <v>0</v>
      </c>
      <c r="S15" s="2"/>
      <c r="T15" s="2"/>
    </row>
    <row r="16" customFormat="false" ht="19.5" hidden="false" customHeight="true" outlineLevel="0" collapsed="false">
      <c r="A16" s="2"/>
      <c r="B16" s="18" t="s">
        <v>11</v>
      </c>
      <c r="C16" s="19" t="n">
        <f aca="false">MAX(0,Copertura!$Q$6-Copertura!$O$6,Copertura!$Q$7-Copertura!$O$7,Copertura!$Q$8-Copertura!$O$8,Copertura!$Q$9-Copertura!$O$9)</f>
        <v>0</v>
      </c>
      <c r="D16" s="19" t="n">
        <f aca="false">MAX(0,Copertura!$Q$10-Copertura!$O$10,Copertura!$Q$11-Copertura!$O$11,Copertura!$Q$12-Copertura!$O$12,Copertura!$Q$13-Copertura!$O$13)</f>
        <v>0</v>
      </c>
      <c r="E16" s="19" t="n">
        <f aca="false">MAX(0,Copertura!$Q$14-Copertura!$O$14,Copertura!$Q$15-Copertura!$O$15,Copertura!$Q$16-Copertura!$O$16,Copertura!$Q$17-Copertura!$O$17)</f>
        <v>0</v>
      </c>
      <c r="F16" s="19" t="n">
        <f aca="false">MAX(0,Copertura!$Q$18-Copertura!$O$18,Copertura!$Q$19-Copertura!$O$19,Copertura!$Q$20-Copertura!$O$20,Copertura!$Q$21-Copertura!$O$21)</f>
        <v>0</v>
      </c>
      <c r="G16" s="19" t="n">
        <f aca="false">MAX(0,Copertura!$Q$22-Copertura!$O$22,Copertura!$Q$23-Copertura!$O$23,Copertura!$Q$24-Copertura!$O$24,Copertura!$Q$25-Copertura!$O$25)</f>
        <v>0</v>
      </c>
      <c r="H16" s="19" t="n">
        <f aca="false">MAX(0,Copertura!$Q$26-Copertura!$O$26,Copertura!$Q$27-Copertura!$O$27,Copertura!$Q$28-Copertura!$O$28,Copertura!$Q$29-Copertura!$O$29)</f>
        <v>0</v>
      </c>
      <c r="I16" s="19" t="n">
        <f aca="false">MAX(0,Copertura!$Q$30-Copertura!$O$30,Copertura!$Q$31-Copertura!$O$31,Copertura!$Q$32-Copertura!$O$32,Copertura!$Q$33-Copertura!$O$33)</f>
        <v>0</v>
      </c>
      <c r="J16" s="19" t="n">
        <f aca="false">MAX(0,Copertura!$Q$34-Copertura!$O$34,Copertura!$Q$35-Copertura!$O$35,Copertura!$Q$36-Copertura!$O$36,Copertura!$Q$37-Copertura!$O$37)</f>
        <v>0</v>
      </c>
      <c r="K16" s="19" t="n">
        <f aca="false">MAX(0,Copertura!$Q$38-Copertura!$O$38,Copertura!$Q$39-Copertura!$O$39,Copertura!$Q$40-Copertura!$O$40,Copertura!$Q$41-Copertura!$O$41)</f>
        <v>0</v>
      </c>
      <c r="L16" s="19" t="n">
        <f aca="false">MAX(0,Copertura!$Q$42-Copertura!$O$42,Copertura!$Q$43-Copertura!$O$43,Copertura!$Q$44-Copertura!$O$44,Copertura!$Q$45-Copertura!$O$45)</f>
        <v>0</v>
      </c>
      <c r="M16" s="19" t="n">
        <f aca="false">MAX(0,Copertura!$Q$46-Copertura!$O$46,Copertura!$Q$47-Copertura!$O$47,Copertura!$Q$48-Copertura!$O$48,Copertura!$Q$49-Copertura!$O$49)</f>
        <v>0</v>
      </c>
      <c r="N16" s="19" t="n">
        <f aca="false">MAX(0,Copertura!$Q$50-Copertura!$O$50,Copertura!$Q$51-Copertura!$O$51,Copertura!$Q$52-Copertura!$O$52,Copertura!$Q$53-Copertura!$O$53)</f>
        <v>0</v>
      </c>
      <c r="O16" s="19" t="n">
        <f aca="false">MAX(0,Copertura!$Q$54-Copertura!$O$54,Copertura!$Q$55-Copertura!$O$55,Copertura!$Q$56-Copertura!$O$56,Copertura!$Q$57-Copertura!$O$57)</f>
        <v>0</v>
      </c>
      <c r="P16" s="19" t="n">
        <f aca="false">MAX(0,Copertura!$Q$58-Copertura!$O$58,Copertura!$Q$59-Copertura!$O$59,Copertura!$Q$60-Copertura!$O$60,Copertura!$Q$61-Copertura!$O$61)</f>
        <v>0</v>
      </c>
      <c r="Q16" s="19" t="n">
        <f aca="false">MAX(0,Copertura!$Q$62-Copertura!$O$62,Copertura!$Q$63-Copertura!$O$63,Copertura!$Q$64-Copertura!$O$64,Copertura!$Q$65-Copertura!$O$65)</f>
        <v>1</v>
      </c>
      <c r="R16" s="19" t="n">
        <f aca="false">MAX(0,Copertura!$Q$66-Copertura!$O$66,Copertura!$Q$67-Copertura!$O$67,Copertura!$Q$68-Copertura!$O$68)</f>
        <v>0</v>
      </c>
      <c r="S16" s="2"/>
      <c r="T16" s="2"/>
    </row>
    <row r="17" customFormat="false" ht="19.5" hidden="false" customHeight="true" outlineLevel="0" collapsed="false">
      <c r="A17" s="2"/>
      <c r="B17" s="18" t="s">
        <v>12</v>
      </c>
      <c r="C17" s="19" t="n">
        <f aca="false">MAX(0,Copertura!$U$6-Copertura!$S$6,Copertura!$U$7-Copertura!$S$7,Copertura!$U$8-Copertura!$S$8,Copertura!$U$9-Copertura!$S$9)</f>
        <v>0</v>
      </c>
      <c r="D17" s="19" t="n">
        <f aca="false">MAX(0,Copertura!$U$10-Copertura!$S$10,Copertura!$U$11-Copertura!$S$11,Copertura!$U$12-Copertura!$S$12,Copertura!$U$13-Copertura!$S$13)</f>
        <v>0</v>
      </c>
      <c r="E17" s="19" t="n">
        <f aca="false">MAX(0,Copertura!$U$14-Copertura!$S$14,Copertura!$U$15-Copertura!$S$15,Copertura!$U$16-Copertura!$S$16,Copertura!$U$17-Copertura!$S$17)</f>
        <v>0</v>
      </c>
      <c r="F17" s="19" t="n">
        <f aca="false">MAX(0,Copertura!$U$18-Copertura!$S$18,Copertura!$U$19-Copertura!$S$19,Copertura!$U$20-Copertura!$S$20,Copertura!$U$21-Copertura!$S$21)</f>
        <v>0</v>
      </c>
      <c r="G17" s="19" t="n">
        <f aca="false">MAX(0,Copertura!$U$22-Copertura!$S$22,Copertura!$U$23-Copertura!$S$23,Copertura!$U$24-Copertura!$S$24,Copertura!$U$25-Copertura!$S$25)</f>
        <v>0</v>
      </c>
      <c r="H17" s="19" t="n">
        <f aca="false">MAX(0,Copertura!$U$26-Copertura!$S$26,Copertura!$U$27-Copertura!$S$27,Copertura!$U$28-Copertura!$S$28,Copertura!$U$29-Copertura!$S$29)</f>
        <v>0</v>
      </c>
      <c r="I17" s="19" t="n">
        <f aca="false">MAX(0,Copertura!$U$30-Copertura!$S$30,Copertura!$U$31-Copertura!$S$31,Copertura!$U$32-Copertura!$S$32,Copertura!$U$33-Copertura!$S$33)</f>
        <v>0</v>
      </c>
      <c r="J17" s="19" t="n">
        <f aca="false">MAX(0,Copertura!$U$34-Copertura!$S$34,Copertura!$U$35-Copertura!$S$35,Copertura!$U$36-Copertura!$S$36,Copertura!$U$37-Copertura!$S$37)</f>
        <v>0</v>
      </c>
      <c r="K17" s="19" t="n">
        <f aca="false">MAX(0,Copertura!$U$38-Copertura!$S$38,Copertura!$U$39-Copertura!$S$39,Copertura!$U$40-Copertura!$S$40,Copertura!$U$41-Copertura!$S$41)</f>
        <v>0</v>
      </c>
      <c r="L17" s="19" t="n">
        <f aca="false">MAX(0,Copertura!$U$42-Copertura!$S$42,Copertura!$U$43-Copertura!$S$43,Copertura!$U$44-Copertura!$S$44,Copertura!$U$45-Copertura!$S$45)</f>
        <v>0</v>
      </c>
      <c r="M17" s="19" t="n">
        <f aca="false">MAX(0,Copertura!$U$46-Copertura!$S$46,Copertura!$U$47-Copertura!$S$47,Copertura!$U$48-Copertura!$S$48,Copertura!$U$49-Copertura!$S$49)</f>
        <v>0</v>
      </c>
      <c r="N17" s="19" t="n">
        <f aca="false">MAX(0,Copertura!$U$50-Copertura!$S$50,Copertura!$U$51-Copertura!$S$51,Copertura!$U$52-Copertura!$S$52,Copertura!$U$53-Copertura!$S$53)</f>
        <v>0</v>
      </c>
      <c r="O17" s="19" t="n">
        <f aca="false">MAX(0,Copertura!$U$54-Copertura!$S$54,Copertura!$U$55-Copertura!$S$55,Copertura!$U$56-Copertura!$S$56,Copertura!$U$57-Copertura!$S$57)</f>
        <v>0</v>
      </c>
      <c r="P17" s="19" t="n">
        <f aca="false">MAX(0,Copertura!$U$58-Copertura!$S$58,Copertura!$U$59-Copertura!$S$59,Copertura!$U$60-Copertura!$S$60,Copertura!$U$61-Copertura!$S$61)</f>
        <v>1</v>
      </c>
      <c r="Q17" s="19" t="n">
        <f aca="false">MAX(0,Copertura!$U$62-Copertura!$S$62,Copertura!$U$63-Copertura!$S$63,Copertura!$U$64-Copertura!$S$64,Copertura!$U$65-Copertura!$S$65)</f>
        <v>0</v>
      </c>
      <c r="R17" s="19" t="n">
        <f aca="false">MAX(0,Copertura!$U$66-Copertura!$S$66,Copertura!$U$67-Copertura!$S$67,Copertura!$U$68-Copertura!$S$68)</f>
        <v>0</v>
      </c>
      <c r="S17" s="2"/>
      <c r="T17" s="2"/>
    </row>
    <row r="18" customFormat="false" ht="19.5" hidden="false" customHeight="true" outlineLevel="0" collapsed="false">
      <c r="A18" s="2"/>
      <c r="B18" s="18" t="s">
        <v>13</v>
      </c>
      <c r="C18" s="19" t="n">
        <f aca="false">MAX(0,Copertura!$Y$6-Copertura!$W$6,Copertura!$Y$7-Copertura!$W$7,Copertura!$Y$8-Copertura!$W$8,Copertura!$Y$9-Copertura!$W$9)</f>
        <v>0</v>
      </c>
      <c r="D18" s="19" t="n">
        <f aca="false">MAX(0,Copertura!$Y$10-Copertura!$W$10,Copertura!$Y$11-Copertura!$W$11,Copertura!$Y$12-Copertura!$W$12,Copertura!$Y$13-Copertura!$W$13)</f>
        <v>0</v>
      </c>
      <c r="E18" s="19" t="n">
        <f aca="false">MAX(0,Copertura!$Y$14-Copertura!$W$14,Copertura!$Y$15-Copertura!$W$15,Copertura!$Y$16-Copertura!$W$16,Copertura!$Y$17-Copertura!$W$17)</f>
        <v>0</v>
      </c>
      <c r="F18" s="19" t="n">
        <f aca="false">MAX(0,Copertura!$Y$18-Copertura!$W$18,Copertura!$Y$19-Copertura!$W$19,Copertura!$Y$20-Copertura!$W$20,Copertura!$Y$21-Copertura!$W$21)</f>
        <v>0</v>
      </c>
      <c r="G18" s="19" t="n">
        <f aca="false">MAX(0,Copertura!$Y$22-Copertura!$W$22,Copertura!$Y$23-Copertura!$W$23,Copertura!$Y$24-Copertura!$W$24,Copertura!$Y$25-Copertura!$W$25)</f>
        <v>0</v>
      </c>
      <c r="H18" s="19" t="n">
        <f aca="false">MAX(0,Copertura!$Y$26-Copertura!$W$26,Copertura!$Y$27-Copertura!$W$27,Copertura!$Y$28-Copertura!$W$28,Copertura!$Y$29-Copertura!$W$29)</f>
        <v>0</v>
      </c>
      <c r="I18" s="19" t="n">
        <f aca="false">MAX(0,Copertura!$Y$30-Copertura!$W$30,Copertura!$Y$31-Copertura!$W$31,Copertura!$Y$32-Copertura!$W$32,Copertura!$Y$33-Copertura!$W$33)</f>
        <v>0</v>
      </c>
      <c r="J18" s="19" t="n">
        <f aca="false">MAX(0,Copertura!$Y$34-Copertura!$W$34,Copertura!$Y$35-Copertura!$W$35,Copertura!$Y$36-Copertura!$W$36,Copertura!$Y$37-Copertura!$W$37)</f>
        <v>0</v>
      </c>
      <c r="K18" s="19" t="n">
        <f aca="false">MAX(0,Copertura!$Y$38-Copertura!$W$38,Copertura!$Y$39-Copertura!$W$39,Copertura!$Y$40-Copertura!$W$40,Copertura!$Y$41-Copertura!$W$41)</f>
        <v>0</v>
      </c>
      <c r="L18" s="19" t="n">
        <f aca="false">MAX(0,Copertura!$Y$42-Copertura!$W$42,Copertura!$Y$43-Copertura!$W$43,Copertura!$Y$44-Copertura!$W$44,Copertura!$Y$45-Copertura!$W$45)</f>
        <v>0</v>
      </c>
      <c r="M18" s="19" t="n">
        <f aca="false">MAX(0,Copertura!$Y$46-Copertura!$W$46,Copertura!$Y$47-Copertura!$W$47,Copertura!$Y$48-Copertura!$W$48,Copertura!$Y$49-Copertura!$W$49)</f>
        <v>0</v>
      </c>
      <c r="N18" s="19" t="n">
        <f aca="false">MAX(0,Copertura!$Y$50-Copertura!$W$50,Copertura!$Y$51-Copertura!$W$51,Copertura!$Y$52-Copertura!$W$52,Copertura!$Y$53-Copertura!$W$53)</f>
        <v>0</v>
      </c>
      <c r="O18" s="19" t="n">
        <f aca="false">MAX(0,Copertura!$Y$54-Copertura!$W$54,Copertura!$Y$55-Copertura!$W$55,Copertura!$Y$56-Copertura!$W$56,Copertura!$Y$57-Copertura!$W$57)</f>
        <v>0</v>
      </c>
      <c r="P18" s="19" t="n">
        <f aca="false">MAX(0,Copertura!$Y$58-Copertura!$W$58,Copertura!$Y$59-Copertura!$W$59,Copertura!$Y$60-Copertura!$W$60,Copertura!$Y$61-Copertura!$W$61)</f>
        <v>0</v>
      </c>
      <c r="Q18" s="19" t="n">
        <f aca="false">MAX(0,Copertura!$Y$62-Copertura!$W$62,Copertura!$Y$63-Copertura!$W$63,Copertura!$Y$64-Copertura!$W$64,Copertura!$Y$65-Copertura!$W$65)</f>
        <v>0</v>
      </c>
      <c r="R18" s="19" t="n">
        <f aca="false">MAX(0,Copertura!$Y$66-Copertura!$W$66,Copertura!$Y$67-Copertura!$W$67,Copertura!$Y$68-Copertura!$W$68)</f>
        <v>0</v>
      </c>
      <c r="S18" s="2"/>
      <c r="T18" s="2"/>
    </row>
    <row r="19" customFormat="false" ht="19.5" hidden="false" customHeight="true" outlineLevel="0" collapsed="false">
      <c r="A19" s="2"/>
      <c r="B19" s="18" t="s">
        <v>14</v>
      </c>
      <c r="C19" s="19" t="n">
        <f aca="false">MAX(0,Copertura!$AC$6-Copertura!$AA$6,Copertura!$AC$7-Copertura!$AA$7,Copertura!$AC$8-Copertura!$AA$8,Copertura!$AC$9-Copertura!$AA$9)</f>
        <v>0</v>
      </c>
      <c r="D19" s="19" t="n">
        <f aca="false">MAX(0,Copertura!$AC$10-Copertura!$AA$10,Copertura!$AC$11-Copertura!$AA$11,Copertura!$AC$12-Copertura!$AA$12,Copertura!$AC$13-Copertura!$AA$13)</f>
        <v>0</v>
      </c>
      <c r="E19" s="19" t="n">
        <f aca="false">MAX(0,Copertura!$AC$14-Copertura!$AA$14,Copertura!$AC$15-Copertura!$AA$15,Copertura!$AC$16-Copertura!$AA$16,Copertura!$AC$17-Copertura!$AA$17)</f>
        <v>0</v>
      </c>
      <c r="F19" s="19" t="n">
        <f aca="false">MAX(0,Copertura!$AC$18-Copertura!$AA$18,Copertura!$AC$19-Copertura!$AA$19,Copertura!$AC$20-Copertura!$AA$20,Copertura!$AC$21-Copertura!$AA$21)</f>
        <v>0</v>
      </c>
      <c r="G19" s="19" t="n">
        <f aca="false">MAX(0,Copertura!$AC$22-Copertura!$AA$22,Copertura!$AC$23-Copertura!$AA$23,Copertura!$AC$24-Copertura!$AA$24,Copertura!$AC$25-Copertura!$AA$25)</f>
        <v>0</v>
      </c>
      <c r="H19" s="19" t="n">
        <f aca="false">MAX(0,Copertura!$AC$26-Copertura!$AA$26,Copertura!$AC$27-Copertura!$AA$27,Copertura!$AC$28-Copertura!$AA$28,Copertura!$AC$29-Copertura!$AA$29)</f>
        <v>0</v>
      </c>
      <c r="I19" s="19" t="n">
        <f aca="false">MAX(0,Copertura!$AC$30-Copertura!$AA$30,Copertura!$AC$31-Copertura!$AA$31,Copertura!$AC$32-Copertura!$AA$32,Copertura!$AC$33-Copertura!$AA$33)</f>
        <v>0</v>
      </c>
      <c r="J19" s="19" t="n">
        <f aca="false">MAX(0,Copertura!$AC$34-Copertura!$AA$34,Copertura!$AC$35-Copertura!$AA$35,Copertura!$AC$36-Copertura!$AA$36,Copertura!$AC$37-Copertura!$AA$37)</f>
        <v>0</v>
      </c>
      <c r="K19" s="19" t="n">
        <f aca="false">MAX(0,Copertura!$AC$38-Copertura!$AA$38,Copertura!$AC$39-Copertura!$AA$39,Copertura!$AC$40-Copertura!$AA$40,Copertura!$AC$41-Copertura!$AA$41)</f>
        <v>0</v>
      </c>
      <c r="L19" s="19" t="n">
        <f aca="false">MAX(0,Copertura!$AC$42-Copertura!$AA$42,Copertura!$AC$43-Copertura!$AA$43,Copertura!$AC$44-Copertura!$AA$44,Copertura!$AC$45-Copertura!$AA$45)</f>
        <v>0</v>
      </c>
      <c r="M19" s="19" t="n">
        <f aca="false">MAX(0,Copertura!$AC$46-Copertura!$AA$46,Copertura!$AC$47-Copertura!$AA$47,Copertura!$AC$48-Copertura!$AA$48,Copertura!$AC$49-Copertura!$AA$49)</f>
        <v>0</v>
      </c>
      <c r="N19" s="19" t="n">
        <f aca="false">MAX(0,Copertura!$AC$50-Copertura!$AA$50,Copertura!$AC$51-Copertura!$AA$51,Copertura!$AC$52-Copertura!$AA$52,Copertura!$AC$53-Copertura!$AA$53)</f>
        <v>0</v>
      </c>
      <c r="O19" s="19" t="n">
        <f aca="false">MAX(0,Copertura!$AC$54-Copertura!$AA$54,Copertura!$AC$55-Copertura!$AA$55,Copertura!$AC$56-Copertura!$AA$56,Copertura!$AC$57-Copertura!$AA$57)</f>
        <v>0</v>
      </c>
      <c r="P19" s="19" t="n">
        <f aca="false">MAX(0,Copertura!$AC$58-Copertura!$AA$58,Copertura!$AC$59-Copertura!$AA$59,Copertura!$AC$60-Copertura!$AA$60,Copertura!$AC$61-Copertura!$AA$61)</f>
        <v>0</v>
      </c>
      <c r="Q19" s="19" t="n">
        <f aca="false">MAX(0,Copertura!$AC$62-Copertura!$AA$62,Copertura!$AC$63-Copertura!$AA$63,Copertura!$AC$64-Copertura!$AA$64,Copertura!$AC$65-Copertura!$AA$65)</f>
        <v>0</v>
      </c>
      <c r="R19" s="19" t="n">
        <f aca="false">MAX(0,Copertura!$AC$66-Copertura!$AA$66,Copertura!$AC$67-Copertura!$AA$67,Copertura!$AC$68-Copertura!$AA$68)</f>
        <v>0</v>
      </c>
      <c r="S19" s="2"/>
      <c r="T19" s="2"/>
    </row>
    <row r="20" customFormat="false" ht="19.5" hidden="false" customHeight="true" outlineLevel="0" collapsed="false">
      <c r="A20" s="2"/>
      <c r="B20" s="20" t="s">
        <v>15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"/>
      <c r="T20" s="2"/>
    </row>
    <row r="21" customFormat="false" ht="19.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customFormat="false" ht="19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customFormat="false" ht="19.5" hidden="false" customHeight="true" outlineLevel="0" collapsed="false">
      <c r="A23" s="2"/>
      <c r="B23" s="16" t="s">
        <v>16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2"/>
      <c r="O23" s="2"/>
      <c r="P23" s="2"/>
      <c r="Q23" s="2"/>
      <c r="R23" s="2"/>
      <c r="S23" s="2"/>
      <c r="T23" s="2"/>
    </row>
    <row r="24" customFormat="false" ht="19.5" hidden="false" customHeight="true" outlineLevel="0" collapsed="false">
      <c r="A24" s="2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customFormat="false" ht="19.5" hidden="false" customHeight="true" outlineLevel="0" collapsed="false">
      <c r="A25" s="2"/>
      <c r="B25" s="21" t="s">
        <v>17</v>
      </c>
      <c r="C25" s="15"/>
      <c r="D25" s="15"/>
      <c r="E25" s="15"/>
      <c r="F25" s="21" t="s">
        <v>18</v>
      </c>
      <c r="G25" s="15"/>
      <c r="H25" s="15"/>
      <c r="I25" s="15"/>
      <c r="J25" s="21" t="s">
        <v>19</v>
      </c>
      <c r="K25" s="15"/>
      <c r="L25" s="15"/>
      <c r="M25" s="15"/>
      <c r="N25" s="21" t="s">
        <v>20</v>
      </c>
      <c r="O25" s="15"/>
      <c r="P25" s="15"/>
      <c r="Q25" s="15"/>
      <c r="R25" s="15"/>
      <c r="S25" s="15"/>
      <c r="T25" s="15"/>
    </row>
    <row r="26" customFormat="false" ht="19.5" hidden="false" customHeight="true" outlineLevel="0" collapsed="false">
      <c r="A26" s="2"/>
      <c r="B26" s="22" t="str">
        <f aca="false">Personale!$H$41</f>
        <v>5 ass.</v>
      </c>
      <c r="C26" s="22"/>
      <c r="D26" s="22"/>
      <c r="E26" s="22"/>
      <c r="F26" s="23" t="n">
        <f aca="false">Personale!$I$41</f>
        <v>140</v>
      </c>
      <c r="G26" s="23"/>
      <c r="H26" s="23"/>
      <c r="I26" s="23"/>
      <c r="J26" s="24" t="n">
        <f aca="false">(6-SUMPRODUCT(--(Personale!$B$5:$B$40="RESP"),--(Personale!$H$5:$H$40&lt;&gt;"")))</f>
        <v>5</v>
      </c>
      <c r="K26" s="24"/>
      <c r="L26" s="24"/>
      <c r="M26" s="24"/>
      <c r="N26" s="25" t="n">
        <f aca="false">MAX(0,OreRichieste!$I$17-(Personale!$C$41-Personale!$I$41))</f>
        <v>189.766093084728</v>
      </c>
      <c r="O26" s="25"/>
      <c r="P26" s="25"/>
      <c r="Q26" s="25"/>
      <c r="R26" s="15"/>
      <c r="S26" s="15"/>
      <c r="T26" s="15"/>
    </row>
    <row r="27" customFormat="false" ht="19.5" hidden="false" customHeight="true" outlineLevel="0" collapsed="false">
      <c r="A27" s="2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 customFormat="false" ht="19.5" hidden="false" customHeight="true" outlineLevel="0" collapsed="false">
      <c r="A28" s="2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customFormat="false" ht="19.5" hidden="false" customHeight="true" outlineLevel="0" collapsed="false">
      <c r="A29" s="2"/>
      <c r="B29" s="26" t="str">
        <f aca="false">IF((6-SUMPRODUCT(--(Personale!$B$5:$B$40="RESP"),--(Personale!$H$5:$H$40&lt;&gt;"")))&lt;2,"◆ CRITICO — meno di 2 responsabili in servizio",IF(MAX(0,OreRichieste!$I$17-(Personale!$C$41-Personale!$I$41))=0,"● TUTTO OK — copertura garantita, nessun intervento",IF(MAX(0,OreRichieste!$I$17-(Personale!$C$41-Personale!$I$41))&lt;=50,"▲ CHIAMA JOLLY — "&amp;ROUNDUP(MAX(0,OreRichieste!$I$17-(Personale!$C$41-Personale!$I$41))/25,0)&amp;" jolly (su 2) coprono il buco",IF(MAX(0,OreRichieste!$I$17-(Personale!$C$41-Personale!$I$41))&lt;=90,"▲ JOLLY + STRAORD — 2 jolly + "&amp;TEXT(MAX(0,OreRichieste!$I$17-(Personale!$C$41-Personale!$I$41))-50,"0")&amp;"h di straordinario","◆ CRITICO — deficit "&amp;TEXT(MAX(0,OreRichieste!$I$17-(Personale!$C$41-Personale!$I$41)),"0")&amp;"h: oltre 2 jolly + straordinari legali"))))</f>
        <v>◆ CRITICO — deficit 190h: oltre 2 jolly + straordinari legali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</row>
    <row r="30" customFormat="false" ht="19.5" hidden="false" customHeight="true" outlineLevel="0" collapsed="false">
      <c r="A30" s="2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</row>
    <row r="31" customFormat="false" ht="19.5" hidden="false" customHeight="true" outlineLevel="0" collapsed="false">
      <c r="A31" s="2"/>
      <c r="B31" s="27" t="s">
        <v>21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</row>
    <row r="32" customFormat="false" ht="19.5" hidden="false" customHeight="true" outlineLevel="0" collapsed="false">
      <c r="A32" s="2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customFormat="false" ht="19.5" hidden="false" customHeight="true" outlineLevel="0" collapsed="false">
      <c r="A33" s="2"/>
      <c r="B33" s="5" t="s">
        <v>22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customFormat="false" ht="19.5" hidden="false" customHeight="true" outlineLevel="0" collapsed="false">
      <c r="A34" s="2"/>
      <c r="B34" s="5" t="s">
        <v>23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customFormat="false" ht="19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customFormat="false" ht="19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customFormat="false" ht="19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customFormat="false" ht="19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customFormat="false" ht="19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customFormat="false" ht="19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</sheetData>
  <mergeCells count="22">
    <mergeCell ref="B2:H2"/>
    <mergeCell ref="O2:T2"/>
    <mergeCell ref="B3:T3"/>
    <mergeCell ref="B6:F6"/>
    <mergeCell ref="G6:K6"/>
    <mergeCell ref="L6:P6"/>
    <mergeCell ref="Q6:T6"/>
    <mergeCell ref="B7:F8"/>
    <mergeCell ref="G7:K8"/>
    <mergeCell ref="L7:P8"/>
    <mergeCell ref="Q7:T8"/>
    <mergeCell ref="B11:M11"/>
    <mergeCell ref="B20:R20"/>
    <mergeCell ref="B23:M23"/>
    <mergeCell ref="B26:E26"/>
    <mergeCell ref="F26:I26"/>
    <mergeCell ref="J26:M26"/>
    <mergeCell ref="N26:Q26"/>
    <mergeCell ref="B29:T30"/>
    <mergeCell ref="B31:T31"/>
    <mergeCell ref="B33:T33"/>
    <mergeCell ref="B34:T34"/>
  </mergeCells>
  <conditionalFormatting sqref="L7">
    <cfRule type="cellIs" priority="2" operator="lessThan" aboveAverage="0" equalAverage="0" bottom="0" percent="0" rank="0" text="" dxfId="0">
      <formula>0.95</formula>
    </cfRule>
  </conditionalFormatting>
  <conditionalFormatting sqref="Q7">
    <cfRule type="cellIs" priority="3" operator="lessThan" aboveAverage="0" equalAverage="0" bottom="0" percent="0" rank="0" text="" dxfId="0">
      <formula>0</formula>
    </cfRule>
  </conditionalFormatting>
  <conditionalFormatting sqref="C13:R19">
    <cfRule type="colorScale" priority="4">
      <colorScale>
        <cfvo type="num" val="0"/>
        <cfvo type="num" val="1"/>
        <cfvo type="num" val="2"/>
        <color rgb="FF16233A"/>
        <color rgb="FFF4B740"/>
        <color rgb="FFFF5C6C"/>
      </colorScale>
    </cfRule>
  </conditionalFormatting>
  <conditionalFormatting sqref="B29">
    <cfRule type="expression" priority="5" aboveAverage="0" equalAverage="0" bottom="0" percent="0" rank="0" text="" dxfId="1">
      <formula>ISNUMBER(SEARCH("OK",B29))</formula>
    </cfRule>
    <cfRule type="expression" priority="6" aboveAverage="0" equalAverage="0" bottom="0" percent="0" rank="0" text="" dxfId="2">
      <formula>ISNUMBER(SEARCH("JOLLY",B29))</formula>
    </cfRule>
    <cfRule type="expression" priority="7" aboveAverage="0" equalAverage="0" bottom="0" percent="0" rank="0" text="" dxfId="3">
      <formula>ISNUMBER(SEARCH("CRITICO",B29))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62B61"/>
    <pageSetUpPr fitToPage="true"/>
  </sheetPr>
  <dimension ref="B2:K35"/>
  <sheetViews>
    <sheetView showFormulas="false" showGridLines="false" showRowColHeaders="true" showZeros="true" rightToLeft="false" tabSelected="false" showOutlineSymbols="true" defaultGridColor="true" view="normal" topLeftCell="A10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11" min="2" style="1" width="13.02"/>
    <col collapsed="false" customWidth="true" hidden="false" outlineLevel="0" max="1025" min="12" style="1" width="8.67"/>
  </cols>
  <sheetData>
    <row r="2" customFormat="false" ht="30" hidden="false" customHeight="true" outlineLevel="0" collapsed="false">
      <c r="B2" s="28" t="s">
        <v>1</v>
      </c>
      <c r="C2" s="28"/>
      <c r="D2" s="28"/>
      <c r="E2" s="28"/>
      <c r="F2" s="28"/>
      <c r="G2" s="28"/>
      <c r="H2" s="28"/>
      <c r="I2" s="28"/>
      <c r="J2" s="28"/>
      <c r="K2" s="28"/>
    </row>
    <row r="3" customFormat="false" ht="13.5" hidden="false" customHeight="true" outlineLevel="0" collapsed="false">
      <c r="B3" s="28"/>
      <c r="C3" s="28"/>
      <c r="D3" s="28"/>
      <c r="E3" s="28"/>
      <c r="F3" s="28"/>
      <c r="G3" s="28"/>
      <c r="H3" s="28"/>
      <c r="I3" s="28"/>
      <c r="J3" s="28"/>
      <c r="K3" s="28"/>
    </row>
    <row r="4" customFormat="false" ht="18" hidden="false" customHeight="true" outlineLevel="0" collapsed="false">
      <c r="B4" s="29" t="s">
        <v>24</v>
      </c>
      <c r="C4" s="29"/>
      <c r="D4" s="29"/>
      <c r="E4" s="29"/>
      <c r="F4" s="29"/>
      <c r="G4" s="29"/>
      <c r="H4" s="29"/>
      <c r="I4" s="29"/>
      <c r="J4" s="29"/>
      <c r="K4" s="29"/>
    </row>
    <row r="5" customFormat="false" ht="4.5" hidden="false" customHeight="true" outlineLevel="0" collapsed="false">
      <c r="B5" s="30"/>
      <c r="C5" s="30"/>
      <c r="D5" s="30"/>
      <c r="E5" s="30"/>
      <c r="F5" s="30"/>
      <c r="G5" s="30"/>
      <c r="H5" s="30"/>
      <c r="I5" s="30"/>
      <c r="J5" s="30"/>
      <c r="K5" s="30"/>
    </row>
    <row r="6" customFormat="false" ht="2.25" hidden="false" customHeight="true" outlineLevel="0" collapsed="false">
      <c r="B6" s="31"/>
      <c r="C6" s="31"/>
      <c r="D6" s="31"/>
      <c r="E6" s="31"/>
      <c r="F6" s="31"/>
      <c r="G6" s="31"/>
      <c r="H6" s="31"/>
      <c r="I6" s="31"/>
      <c r="J6" s="31"/>
      <c r="K6" s="31"/>
    </row>
    <row r="8" customFormat="false" ht="15" hidden="false" customHeight="true" outlineLevel="0" collapsed="false">
      <c r="B8" s="32" t="str">
        <f aca="false">"MODELLO SETTIMANA TIPO:  € "&amp;ROUND(Parametri!B5/1000,0)&amp;"k  ·  "&amp;ROUND(Parametri!B6/1000,0)&amp;"k pezzi  ·  "&amp;ROUND(OreRichieste!I17,0)&amp;" ore richieste  ·  KPI in linea: "&amp;COUNTIF(Dashboard!G15:G17,"IN LINEA")&amp;"/3  ·  Anomalie orario: "&amp;SUM(Dashboard!D54:D59)</f>
        <v>MODELLO SETTIMANA TIPO:  € 226k  ·  136k pezzi  ·  554 ore richieste  ·  KPI in linea: 2/3  ·  Anomalie orario: 28</v>
      </c>
    </row>
    <row r="10" customFormat="false" ht="19.5" hidden="false" customHeight="true" outlineLevel="0" collapsed="false">
      <c r="B10" s="33" t="s">
        <v>25</v>
      </c>
      <c r="C10" s="33"/>
      <c r="D10" s="33"/>
      <c r="E10" s="33"/>
      <c r="F10" s="33"/>
      <c r="G10" s="33"/>
      <c r="H10" s="33"/>
      <c r="I10" s="33"/>
      <c r="J10" s="33"/>
      <c r="K10" s="33"/>
    </row>
    <row r="12" customFormat="false" ht="25.5" hidden="false" customHeight="true" outlineLevel="0" collapsed="false">
      <c r="B12" s="34" t="s">
        <v>26</v>
      </c>
      <c r="C12" s="34"/>
      <c r="D12" s="34"/>
      <c r="E12" s="34" t="s">
        <v>27</v>
      </c>
      <c r="F12" s="34"/>
      <c r="G12" s="34"/>
      <c r="H12" s="34" t="s">
        <v>28</v>
      </c>
      <c r="I12" s="34"/>
      <c r="J12" s="34"/>
    </row>
    <row r="13" customFormat="false" ht="6" hidden="false" customHeight="true" outlineLevel="0" collapsed="false"/>
    <row r="14" customFormat="false" ht="25.5" hidden="false" customHeight="true" outlineLevel="0" collapsed="false">
      <c r="B14" s="34" t="s">
        <v>5</v>
      </c>
      <c r="C14" s="34"/>
      <c r="D14" s="34"/>
      <c r="E14" s="34" t="s">
        <v>29</v>
      </c>
      <c r="F14" s="34"/>
      <c r="G14" s="34"/>
      <c r="H14" s="34" t="s">
        <v>30</v>
      </c>
      <c r="I14" s="34"/>
      <c r="J14" s="34"/>
    </row>
    <row r="15" customFormat="false" ht="6" hidden="false" customHeight="true" outlineLevel="0" collapsed="false"/>
    <row r="16" customFormat="false" ht="25.5" hidden="false" customHeight="true" outlineLevel="0" collapsed="false">
      <c r="B16" s="34" t="s">
        <v>31</v>
      </c>
      <c r="C16" s="34"/>
      <c r="D16" s="34"/>
      <c r="E16" s="34" t="s">
        <v>32</v>
      </c>
      <c r="F16" s="34"/>
      <c r="G16" s="34"/>
      <c r="H16" s="34" t="s">
        <v>33</v>
      </c>
      <c r="I16" s="34"/>
      <c r="J16" s="34"/>
    </row>
    <row r="19" customFormat="false" ht="19.5" hidden="false" customHeight="true" outlineLevel="0" collapsed="false">
      <c r="B19" s="33" t="s">
        <v>34</v>
      </c>
      <c r="C19" s="33"/>
      <c r="D19" s="33"/>
      <c r="E19" s="33"/>
      <c r="F19" s="33"/>
      <c r="G19" s="33"/>
      <c r="H19" s="33"/>
      <c r="I19" s="33"/>
      <c r="J19" s="33"/>
      <c r="K19" s="33"/>
    </row>
    <row r="20" customFormat="false" ht="15" hidden="false" customHeight="true" outlineLevel="0" collapsed="false">
      <c r="B20" s="35" t="s">
        <v>35</v>
      </c>
      <c r="C20" s="35"/>
      <c r="D20" s="35"/>
      <c r="E20" s="35" t="s">
        <v>36</v>
      </c>
      <c r="F20" s="35"/>
      <c r="G20" s="35"/>
      <c r="H20" s="35" t="s">
        <v>37</v>
      </c>
      <c r="I20" s="35"/>
      <c r="J20" s="35"/>
    </row>
    <row r="21" customFormat="false" ht="15" hidden="false" customHeight="true" outlineLevel="0" collapsed="false">
      <c r="B21" s="36" t="s">
        <v>38</v>
      </c>
      <c r="C21" s="36"/>
      <c r="D21" s="36"/>
      <c r="E21" s="36" t="s">
        <v>39</v>
      </c>
      <c r="F21" s="36"/>
      <c r="G21" s="36"/>
      <c r="H21" s="36" t="s">
        <v>40</v>
      </c>
      <c r="I21" s="36"/>
      <c r="J21" s="36"/>
    </row>
    <row r="22" customFormat="false" ht="15" hidden="false" customHeight="true" outlineLevel="0" collapsed="false"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true" outlineLevel="0" collapsed="false">
      <c r="B23" s="36"/>
      <c r="C23" s="36"/>
      <c r="D23" s="36"/>
      <c r="E23" s="36"/>
      <c r="F23" s="36"/>
      <c r="G23" s="36"/>
      <c r="H23" s="36"/>
      <c r="I23" s="36"/>
      <c r="J23" s="36"/>
    </row>
    <row r="24" customFormat="false" ht="15" hidden="false" customHeight="true" outlineLevel="0" collapsed="false">
      <c r="B24" s="36"/>
      <c r="C24" s="36"/>
      <c r="D24" s="36"/>
      <c r="E24" s="36"/>
      <c r="F24" s="36"/>
      <c r="G24" s="36"/>
      <c r="H24" s="36"/>
      <c r="I24" s="36"/>
      <c r="J24" s="36"/>
    </row>
    <row r="25" customFormat="false" ht="15" hidden="false" customHeight="true" outlineLevel="0" collapsed="false">
      <c r="B25" s="36"/>
      <c r="C25" s="36"/>
      <c r="D25" s="36"/>
      <c r="E25" s="36"/>
      <c r="F25" s="36"/>
      <c r="G25" s="36"/>
      <c r="H25" s="36"/>
      <c r="I25" s="36"/>
      <c r="J25" s="36"/>
    </row>
    <row r="26" customFormat="false" ht="15" hidden="false" customHeight="true" outlineLevel="0" collapsed="false">
      <c r="B26" s="36"/>
      <c r="C26" s="36"/>
      <c r="D26" s="36"/>
      <c r="E26" s="36"/>
      <c r="F26" s="36"/>
      <c r="G26" s="36"/>
      <c r="H26" s="36"/>
      <c r="I26" s="36"/>
      <c r="J26" s="36"/>
    </row>
    <row r="28" customFormat="false" ht="19.5" hidden="false" customHeight="true" outlineLevel="0" collapsed="false">
      <c r="B28" s="33" t="s">
        <v>41</v>
      </c>
      <c r="C28" s="33"/>
      <c r="D28" s="33"/>
      <c r="E28" s="33"/>
      <c r="F28" s="33"/>
      <c r="G28" s="33"/>
      <c r="H28" s="33"/>
      <c r="I28" s="33"/>
      <c r="J28" s="33"/>
      <c r="K28" s="33"/>
    </row>
    <row r="29" customFormat="false" ht="15" hidden="false" customHeight="true" outlineLevel="0" collapsed="false">
      <c r="B29" s="37" t="s">
        <v>42</v>
      </c>
    </row>
    <row r="30" customFormat="false" ht="15" hidden="false" customHeight="true" outlineLevel="0" collapsed="false">
      <c r="B30" s="37" t="s">
        <v>43</v>
      </c>
    </row>
    <row r="31" customFormat="false" ht="15" hidden="false" customHeight="true" outlineLevel="0" collapsed="false">
      <c r="B31" s="37" t="s">
        <v>44</v>
      </c>
    </row>
    <row r="32" customFormat="false" ht="15" hidden="false" customHeight="true" outlineLevel="0" collapsed="false">
      <c r="B32" s="37" t="s">
        <v>45</v>
      </c>
    </row>
    <row r="33" customFormat="false" ht="15" hidden="false" customHeight="true" outlineLevel="0" collapsed="false">
      <c r="B33" s="37" t="s">
        <v>46</v>
      </c>
    </row>
    <row r="34" customFormat="false" ht="15" hidden="false" customHeight="true" outlineLevel="0" collapsed="false">
      <c r="B34" s="37" t="s">
        <v>47</v>
      </c>
    </row>
    <row r="35" customFormat="false" ht="15" hidden="false" customHeight="true" outlineLevel="0" collapsed="false">
      <c r="B35" s="38" t="s">
        <v>48</v>
      </c>
    </row>
  </sheetData>
  <mergeCells count="20">
    <mergeCell ref="B2:K3"/>
    <mergeCell ref="B4:K4"/>
    <mergeCell ref="B10:K10"/>
    <mergeCell ref="B12:D12"/>
    <mergeCell ref="E12:G12"/>
    <mergeCell ref="H12:J12"/>
    <mergeCell ref="B14:D14"/>
    <mergeCell ref="E14:G14"/>
    <mergeCell ref="H14:J14"/>
    <mergeCell ref="B16:D16"/>
    <mergeCell ref="E16:G16"/>
    <mergeCell ref="H16:J16"/>
    <mergeCell ref="B19:K19"/>
    <mergeCell ref="B20:D20"/>
    <mergeCell ref="E20:G20"/>
    <mergeCell ref="H20:J20"/>
    <mergeCell ref="B21:D26"/>
    <mergeCell ref="E21:G26"/>
    <mergeCell ref="H21:J26"/>
    <mergeCell ref="B28:K28"/>
  </mergeCells>
  <hyperlinks>
    <hyperlink ref="B12" location="'Dashboard'!A1" display="DASHBOARD"/>
    <hyperlink ref="E12" location="'Personale'!A1" display="PERSONALE"/>
    <hyperlink ref="H12" location="'Turni'!A1" display="TURNI"/>
    <hyperlink ref="B14" location="'Copertura'!A1" display="COPERTURA"/>
    <hyperlink ref="E14" location="'Parametri'!A1" display="PARAMETRI"/>
    <hyperlink ref="H14" location="'Volumi'!A1" display="VOLUMI"/>
    <hyperlink ref="B16" location="'Casse'!A1" display="CASSE + SCO"/>
    <hyperlink ref="E16" location="'OreRichieste'!A1" display="ORE RICHIESTE"/>
    <hyperlink ref="H16" location="'Organico'!A1" display="ORGANIC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0AA"/>
    <pageSetUpPr fitToPage="true"/>
  </sheetPr>
  <dimension ref="B1:G5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10" activeCellId="0" sqref="F10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5"/>
    <col collapsed="false" customWidth="true" hidden="false" outlineLevel="0" max="3" min="3" style="1" width="25.44"/>
    <col collapsed="false" customWidth="true" hidden="false" outlineLevel="0" max="7" min="4" style="1" width="15"/>
    <col collapsed="false" customWidth="true" hidden="false" outlineLevel="0" max="1025" min="8" style="1" width="8.67"/>
  </cols>
  <sheetData>
    <row r="1" customFormat="false" ht="24" hidden="false" customHeight="true" outlineLevel="0" collapsed="false">
      <c r="B1" s="39" t="s">
        <v>49</v>
      </c>
      <c r="C1" s="39"/>
      <c r="D1" s="39"/>
      <c r="E1" s="39"/>
      <c r="F1" s="39"/>
      <c r="G1" s="39"/>
    </row>
    <row r="2" customFormat="false" ht="13.5" hidden="false" customHeight="true" outlineLevel="0" collapsed="false">
      <c r="B2" s="39"/>
      <c r="C2" s="39"/>
      <c r="D2" s="39"/>
      <c r="E2" s="39"/>
      <c r="F2" s="39"/>
      <c r="G2" s="39"/>
    </row>
    <row r="3" customFormat="false" ht="3.75" hidden="false" customHeight="true" outlineLevel="0" collapsed="false">
      <c r="B3" s="30"/>
      <c r="C3" s="30"/>
      <c r="D3" s="30"/>
      <c r="E3" s="30"/>
      <c r="F3" s="30"/>
      <c r="G3" s="30"/>
    </row>
    <row r="5" customFormat="false" ht="15.75" hidden="false" customHeight="true" outlineLevel="0" collapsed="false">
      <c r="B5" s="40" t="s">
        <v>50</v>
      </c>
      <c r="C5" s="40"/>
      <c r="D5" s="40" t="s">
        <v>51</v>
      </c>
      <c r="E5" s="40"/>
      <c r="F5" s="40" t="s">
        <v>52</v>
      </c>
      <c r="G5" s="40"/>
    </row>
    <row r="6" customFormat="false" ht="30" hidden="false" customHeight="true" outlineLevel="0" collapsed="false">
      <c r="B6" s="41" t="n">
        <f aca="false">Parametri!B5</f>
        <v>226000</v>
      </c>
      <c r="C6" s="41"/>
      <c r="D6" s="42" t="n">
        <f aca="false">Parametri!B6</f>
        <v>136000</v>
      </c>
      <c r="E6" s="42"/>
      <c r="F6" s="43" t="n">
        <f aca="false">OreRichieste!I17</f>
        <v>553.766093084728</v>
      </c>
      <c r="G6" s="43"/>
    </row>
    <row r="7" customFormat="false" ht="15.75" hidden="false" customHeight="true" outlineLevel="0" collapsed="false">
      <c r="B7" s="44" t="str">
        <f aca="false">"Scontrino medio: € "&amp;Parametri!B7</f>
        <v>Scontrino medio: € 27.77</v>
      </c>
      <c r="C7" s="44"/>
      <c r="D7" s="44" t="str">
        <f aca="false">"Scontrini: "&amp;ROUND(Parametri!B8,0)</f>
        <v>Scontrini: 8138</v>
      </c>
      <c r="E7" s="44"/>
      <c r="F7" s="44" t="str">
        <f aca="false">"Pianificate: "&amp;ROUND(Organico!I7,0)&amp;" h"</f>
        <v>Pianificate: 553 h</v>
      </c>
      <c r="G7" s="44"/>
    </row>
    <row r="9" customFormat="false" ht="15.75" hidden="false" customHeight="true" outlineLevel="0" collapsed="false">
      <c r="B9" s="40" t="s">
        <v>53</v>
      </c>
      <c r="C9" s="40"/>
      <c r="D9" s="40" t="s">
        <v>54</v>
      </c>
      <c r="E9" s="40"/>
      <c r="F9" s="40" t="s">
        <v>55</v>
      </c>
      <c r="G9" s="40"/>
    </row>
    <row r="10" customFormat="false" ht="30" hidden="false" customHeight="true" outlineLevel="0" collapsed="false">
      <c r="B10" s="45" t="n">
        <f aca="false">IFERROR(Parametri!B5/OreRichieste!I17,"")</f>
        <v>408.114550208515</v>
      </c>
      <c r="C10" s="45"/>
      <c r="D10" s="46" t="n">
        <f aca="false">IFERROR(Parametri!B6/OreRichieste!I17,"")</f>
        <v>245.591056762646</v>
      </c>
      <c r="E10" s="46"/>
      <c r="F10" s="47" t="n">
        <f aca="false">IFERROR(Organico!I7*Parametri!B10/Parametri!B5,"")</f>
        <v>0.053783185840708</v>
      </c>
      <c r="G10" s="47"/>
    </row>
    <row r="11" customFormat="false" ht="15.75" hidden="false" customHeight="true" outlineLevel="0" collapsed="false">
      <c r="B11" s="44" t="str">
        <f aca="false">IF(Parametri!B5/OreRichieste!I17&lt;Parametri!B56,"SOTTO TARGET",IF(Parametri!B5/OreRichieste!I17&gt;Parametri!B57,"SOPRA TARGET","IN LINEA"))</f>
        <v>IN LINEA</v>
      </c>
      <c r="C11" s="44"/>
      <c r="D11" s="44" t="str">
        <f aca="false">IF(Parametri!B6/OreRichieste!I17&lt;Parametri!B54,"SOTTO TARGET",IF(Parametri!B6/OreRichieste!I17&gt;Parametri!B55,"SOPRA TARGET","IN LINEA"))</f>
        <v>SOTTO TARGET</v>
      </c>
      <c r="E11" s="44"/>
      <c r="F11" s="44" t="str">
        <f aca="false">IF(Organico!I7*Parametri!B10/Parametri!B5&lt;=Parametri!B58,"IN LINEA","SOPRA SOGLIA")</f>
        <v>IN LINEA</v>
      </c>
      <c r="G11" s="44"/>
    </row>
    <row r="13" customFormat="false" ht="19.5" hidden="false" customHeight="true" outlineLevel="0" collapsed="false">
      <c r="B13" s="33" t="s">
        <v>56</v>
      </c>
      <c r="C13" s="33"/>
      <c r="D13" s="33"/>
      <c r="E13" s="33"/>
      <c r="F13" s="33"/>
      <c r="G13" s="33"/>
    </row>
    <row r="14" customFormat="false" ht="27.75" hidden="false" customHeight="true" outlineLevel="0" collapsed="false">
      <c r="B14" s="48" t="s">
        <v>57</v>
      </c>
      <c r="C14" s="48"/>
      <c r="D14" s="48" t="s">
        <v>58</v>
      </c>
      <c r="E14" s="48" t="s">
        <v>59</v>
      </c>
      <c r="F14" s="48" t="s">
        <v>60</v>
      </c>
      <c r="G14" s="48" t="s">
        <v>61</v>
      </c>
    </row>
    <row r="15" customFormat="false" ht="15" hidden="false" customHeight="true" outlineLevel="0" collapsed="false">
      <c r="B15" s="49" t="s">
        <v>62</v>
      </c>
      <c r="C15" s="49"/>
      <c r="D15" s="50" t="n">
        <f aca="false">IFERROR(Parametri!B5/OreRichieste!I17,"")</f>
        <v>408.114550208515</v>
      </c>
      <c r="E15" s="51" t="n">
        <f aca="false">IFERROR(Parametri!B5/Organico!I7,"")</f>
        <v>409.049773755656</v>
      </c>
      <c r="F15" s="52" t="str">
        <f aca="false">Parametri!B56&amp;" - "&amp;Parametri!B57&amp;" €/h"</f>
        <v>340 - 420 €/h</v>
      </c>
      <c r="G15" s="53" t="str">
        <f aca="false">IF(D15&lt;Parametri!B56,"SOTTO TARGET",IF(D15&gt;Parametri!B57,"SOPRA TARGET","IN LINEA"))</f>
        <v>IN LINEA</v>
      </c>
    </row>
    <row r="16" customFormat="false" ht="15" hidden="false" customHeight="true" outlineLevel="0" collapsed="false">
      <c r="B16" s="54" t="s">
        <v>63</v>
      </c>
      <c r="C16" s="54"/>
      <c r="D16" s="55" t="n">
        <f aca="false">IFERROR(Parametri!B6/OreRichieste!I17,"")</f>
        <v>245.591056762646</v>
      </c>
      <c r="E16" s="56" t="n">
        <f aca="false">IFERROR(Parametri!B6/Organico!I7,"")</f>
        <v>246.153846153846</v>
      </c>
      <c r="F16" s="44" t="str">
        <f aca="false">Parametri!B54&amp;" - "&amp;Parametri!B55&amp;" pz/h"</f>
        <v>280 - 300 pz/h</v>
      </c>
      <c r="G16" s="57" t="str">
        <f aca="false">IF(D16&lt;Parametri!B54,"SOTTO TARGET",IF(D16&gt;Parametri!B55,"SOPRA TARGET","IN LINEA"))</f>
        <v>SOTTO TARGET</v>
      </c>
    </row>
    <row r="17" customFormat="false" ht="15" hidden="false" customHeight="true" outlineLevel="0" collapsed="false">
      <c r="B17" s="49" t="s">
        <v>64</v>
      </c>
      <c r="C17" s="49"/>
      <c r="D17" s="58" t="n">
        <f aca="false">IFERROR(OreRichieste!I17*Parametri!B10/Parametri!B5,"")</f>
        <v>0.0539064338401062</v>
      </c>
      <c r="E17" s="59" t="n">
        <f aca="false">IFERROR(Organico!I7*Parametri!B10/Parametri!B5,"")</f>
        <v>0.053783185840708</v>
      </c>
      <c r="F17" s="52" t="str">
        <f aca="false">"max "&amp;ROUND(Parametri!B58*100,1)&amp;"%"</f>
        <v>max 7%</v>
      </c>
      <c r="G17" s="53" t="str">
        <f aca="false">IF(D17&lt;=Parametri!B58,"IN LINEA","SOPRA SOGLIA")</f>
        <v>IN LINEA</v>
      </c>
    </row>
    <row r="19" customFormat="false" ht="19.5" hidden="false" customHeight="true" outlineLevel="0" collapsed="false">
      <c r="B19" s="33" t="s">
        <v>65</v>
      </c>
      <c r="C19" s="33"/>
      <c r="D19" s="33"/>
      <c r="E19" s="33"/>
      <c r="F19" s="33"/>
      <c r="G19" s="33"/>
    </row>
    <row r="20" customFormat="false" ht="15" hidden="false" customHeight="true" outlineLevel="0" collapsed="false">
      <c r="B20" s="48" t="s">
        <v>66</v>
      </c>
      <c r="C20" s="48" t="s">
        <v>67</v>
      </c>
      <c r="D20" s="48" t="s">
        <v>68</v>
      </c>
      <c r="E20" s="48" t="s">
        <v>69</v>
      </c>
      <c r="F20" s="48" t="s">
        <v>70</v>
      </c>
      <c r="G20" s="48"/>
    </row>
    <row r="21" customFormat="false" ht="15" hidden="false" customHeight="true" outlineLevel="0" collapsed="false">
      <c r="B21" s="49" t="s">
        <v>8</v>
      </c>
      <c r="C21" s="60" t="n">
        <f aca="false">OreRichieste!B17</f>
        <v>86.0389547526077</v>
      </c>
      <c r="D21" s="60" t="n">
        <f aca="false">Organico!B7</f>
        <v>86</v>
      </c>
      <c r="E21" s="61" t="n">
        <f aca="false">D21-C21</f>
        <v>-0.0389547526076655</v>
      </c>
      <c r="F21" s="59" t="n">
        <f aca="false">IFERROR(C21/D21,"")</f>
        <v>1.00045296223962</v>
      </c>
      <c r="G21" s="62"/>
    </row>
    <row r="22" customFormat="false" ht="15" hidden="false" customHeight="true" outlineLevel="0" collapsed="false">
      <c r="B22" s="54" t="s">
        <v>9</v>
      </c>
      <c r="C22" s="63" t="n">
        <f aca="false">OreRichieste!C17</f>
        <v>69.0285277286757</v>
      </c>
      <c r="D22" s="63" t="n">
        <f aca="false">Organico!C7</f>
        <v>69</v>
      </c>
      <c r="E22" s="64" t="n">
        <f aca="false">D22-C22</f>
        <v>-0.0285277286756696</v>
      </c>
      <c r="F22" s="65" t="n">
        <f aca="false">IFERROR(C22/D22,"")</f>
        <v>1.00041344534313</v>
      </c>
      <c r="G22" s="66"/>
    </row>
    <row r="23" customFormat="false" ht="15" hidden="false" customHeight="true" outlineLevel="0" collapsed="false">
      <c r="B23" s="49" t="s">
        <v>10</v>
      </c>
      <c r="C23" s="60" t="n">
        <f aca="false">OreRichieste!D17</f>
        <v>71.6629955425062</v>
      </c>
      <c r="D23" s="60" t="n">
        <f aca="false">Organico!D7</f>
        <v>71.5</v>
      </c>
      <c r="E23" s="61" t="n">
        <f aca="false">D23-C23</f>
        <v>-0.162995542506209</v>
      </c>
      <c r="F23" s="59" t="n">
        <f aca="false">IFERROR(C23/D23,"")</f>
        <v>1.00227965793715</v>
      </c>
      <c r="G23" s="62"/>
    </row>
    <row r="24" customFormat="false" ht="15" hidden="false" customHeight="true" outlineLevel="0" collapsed="false">
      <c r="B24" s="54" t="s">
        <v>11</v>
      </c>
      <c r="C24" s="63" t="n">
        <f aca="false">OreRichieste!E17</f>
        <v>82.6734225664382</v>
      </c>
      <c r="D24" s="63" t="n">
        <f aca="false">Organico!E7</f>
        <v>82.5</v>
      </c>
      <c r="E24" s="64" t="n">
        <f aca="false">D24-C24</f>
        <v>-0.173422566438219</v>
      </c>
      <c r="F24" s="65" t="n">
        <f aca="false">IFERROR(C24/D24,"")</f>
        <v>1.0021020917144</v>
      </c>
      <c r="G24" s="66"/>
    </row>
    <row r="25" customFormat="false" ht="15" hidden="false" customHeight="true" outlineLevel="0" collapsed="false">
      <c r="B25" s="49" t="s">
        <v>12</v>
      </c>
      <c r="C25" s="60" t="n">
        <f aca="false">OreRichieste!F17</f>
        <v>79.4149139627091</v>
      </c>
      <c r="D25" s="60" t="n">
        <f aca="false">Organico!F7</f>
        <v>79</v>
      </c>
      <c r="E25" s="61" t="n">
        <f aca="false">D25-C25</f>
        <v>-0.414913962709122</v>
      </c>
      <c r="F25" s="59" t="n">
        <f aca="false">IFERROR(C25/D25,"")</f>
        <v>1.00525207547733</v>
      </c>
      <c r="G25" s="62"/>
    </row>
    <row r="26" customFormat="false" ht="15" hidden="false" customHeight="true" outlineLevel="0" collapsed="false">
      <c r="B26" s="54" t="s">
        <v>13</v>
      </c>
      <c r="C26" s="63" t="n">
        <f aca="false">OreRichieste!G17</f>
        <v>94.187686430776</v>
      </c>
      <c r="D26" s="63" t="n">
        <f aca="false">Organico!G7</f>
        <v>94</v>
      </c>
      <c r="E26" s="64" t="n">
        <f aca="false">D26-C26</f>
        <v>-0.18768643077604</v>
      </c>
      <c r="F26" s="65" t="n">
        <f aca="false">IFERROR(C26/D26,"")</f>
        <v>1.00199666415719</v>
      </c>
      <c r="G26" s="66"/>
    </row>
    <row r="27" customFormat="false" ht="15" hidden="false" customHeight="true" outlineLevel="0" collapsed="false">
      <c r="B27" s="49" t="s">
        <v>14</v>
      </c>
      <c r="C27" s="60" t="n">
        <f aca="false">OreRichieste!H17</f>
        <v>70.7595921010146</v>
      </c>
      <c r="D27" s="60" t="n">
        <f aca="false">Organico!H7</f>
        <v>70.5</v>
      </c>
      <c r="E27" s="61" t="n">
        <f aca="false">D27-C27</f>
        <v>-0.259592101014576</v>
      </c>
      <c r="F27" s="59" t="n">
        <f aca="false">IFERROR(C27/D27,"")</f>
        <v>1.0036821574612</v>
      </c>
      <c r="G27" s="62"/>
    </row>
    <row r="28" customFormat="false" ht="15" hidden="false" customHeight="true" outlineLevel="0" collapsed="false">
      <c r="B28" s="67" t="s">
        <v>71</v>
      </c>
      <c r="C28" s="68" t="n">
        <f aca="false">OreRichieste!I17</f>
        <v>553.766093084728</v>
      </c>
      <c r="D28" s="68" t="n">
        <f aca="false">Organico!I7</f>
        <v>552.5</v>
      </c>
      <c r="E28" s="69" t="n">
        <f aca="false">D28-C28</f>
        <v>-1.26609308472757</v>
      </c>
      <c r="F28" s="70" t="n">
        <f aca="false">IFERROR(C28/D28,"")</f>
        <v>1.00229157119408</v>
      </c>
      <c r="G28" s="71"/>
    </row>
    <row r="30" customFormat="false" ht="19.5" hidden="false" customHeight="true" outlineLevel="0" collapsed="false">
      <c r="B30" s="33" t="s">
        <v>72</v>
      </c>
      <c r="C30" s="33"/>
      <c r="D30" s="33"/>
      <c r="E30" s="33"/>
      <c r="F30" s="33"/>
      <c r="G30" s="33"/>
    </row>
    <row r="31" customFormat="false" ht="15" hidden="false" customHeight="true" outlineLevel="0" collapsed="false">
      <c r="B31" s="48" t="s">
        <v>73</v>
      </c>
      <c r="C31" s="48"/>
      <c r="D31" s="48" t="s">
        <v>74</v>
      </c>
      <c r="E31" s="48" t="s">
        <v>75</v>
      </c>
      <c r="F31" s="48"/>
      <c r="G31" s="48"/>
    </row>
    <row r="32" customFormat="false" ht="15" hidden="false" customHeight="true" outlineLevel="0" collapsed="false">
      <c r="B32" s="72" t="str">
        <f aca="false">OreRichieste!A4</f>
        <v>Controllo scorte e ordini merce</v>
      </c>
      <c r="C32" s="72"/>
      <c r="D32" s="60" t="n">
        <f aca="false">OreRichieste!I4</f>
        <v>10.5</v>
      </c>
      <c r="E32" s="59" t="n">
        <f aca="false">IFERROR(D32/$D$45,"")</f>
        <v>0.0189610742353513</v>
      </c>
    </row>
    <row r="33" customFormat="false" ht="15" hidden="false" customHeight="true" outlineLevel="0" collapsed="false">
      <c r="B33" s="73" t="str">
        <f aca="false">OreRichieste!A5</f>
        <v>Rifornimento FV</v>
      </c>
      <c r="C33" s="73"/>
      <c r="D33" s="63" t="n">
        <f aca="false">OreRichieste!I5</f>
        <v>29.4666666666667</v>
      </c>
      <c r="E33" s="65" t="n">
        <f aca="false">IFERROR(D33/$D$45,"")</f>
        <v>0.0532113956319066</v>
      </c>
    </row>
    <row r="34" customFormat="false" ht="15" hidden="false" customHeight="true" outlineLevel="0" collapsed="false">
      <c r="B34" s="72" t="str">
        <f aca="false">OreRichieste!A6</f>
        <v>BAKE: cottura ed esposizione</v>
      </c>
      <c r="C34" s="72"/>
      <c r="D34" s="60" t="n">
        <f aca="false">OreRichieste!I6</f>
        <v>48.7333333333333</v>
      </c>
      <c r="E34" s="59" t="n">
        <f aca="false">IFERROR(D34/$D$45,"")</f>
        <v>0.0880034620066148</v>
      </c>
    </row>
    <row r="35" customFormat="false" ht="15" hidden="false" customHeight="true" outlineLevel="0" collapsed="false">
      <c r="B35" s="73" t="str">
        <f aca="false">OreRichieste!A7</f>
        <v>Rifornimento CARNE</v>
      </c>
      <c r="C35" s="73"/>
      <c r="D35" s="63" t="n">
        <f aca="false">OreRichieste!I7</f>
        <v>8.4722962962963</v>
      </c>
      <c r="E35" s="65" t="n">
        <f aca="false">IFERROR(D35/$D$45,"")</f>
        <v>0.0152994132398063</v>
      </c>
    </row>
    <row r="36" customFormat="false" ht="15" hidden="false" customHeight="true" outlineLevel="0" collapsed="false">
      <c r="B36" s="72" t="str">
        <f aca="false">OreRichieste!A8</f>
        <v>Rifornimento SECCHI</v>
      </c>
      <c r="C36" s="72"/>
      <c r="D36" s="60" t="n">
        <f aca="false">OreRichieste!I8</f>
        <v>49.4253687315634</v>
      </c>
      <c r="E36" s="59" t="n">
        <f aca="false">IFERROR(D36/$D$45,"")</f>
        <v>0.0892531510122654</v>
      </c>
    </row>
    <row r="37" customFormat="false" ht="15" hidden="false" customHeight="true" outlineLevel="0" collapsed="false">
      <c r="B37" s="73" t="str">
        <f aca="false">OreRichieste!A9</f>
        <v>Rifornimento SURGELATI</v>
      </c>
      <c r="C37" s="73"/>
      <c r="D37" s="63" t="n">
        <f aca="false">OreRichieste!I9</f>
        <v>10.2058666666667</v>
      </c>
      <c r="E37" s="65" t="n">
        <f aca="false">IFERROR(D37/$D$45,"")</f>
        <v>0.0184299233812157</v>
      </c>
    </row>
    <row r="38" customFormat="false" ht="15" hidden="false" customHeight="true" outlineLevel="0" collapsed="false">
      <c r="B38" s="72" t="str">
        <f aca="false">OreRichieste!A10</f>
        <v>Rifornimento FRESCHI</v>
      </c>
      <c r="C38" s="72"/>
      <c r="D38" s="60" t="n">
        <f aca="false">OreRichieste!I10</f>
        <v>23.0826805314847</v>
      </c>
      <c r="E38" s="59" t="n">
        <f aca="false">IFERROR(D38/$D$45,"")</f>
        <v>0.0416830875341315</v>
      </c>
    </row>
    <row r="39" customFormat="false" ht="15" hidden="false" customHeight="true" outlineLevel="0" collapsed="false">
      <c r="B39" s="73" t="str">
        <f aca="false">OreRichieste!A11</f>
        <v>Allestimento PROMO FOOD</v>
      </c>
      <c r="C39" s="73"/>
      <c r="D39" s="63" t="n">
        <f aca="false">OreRichieste!I11</f>
        <v>3.76036866359447</v>
      </c>
      <c r="E39" s="65" t="n">
        <f aca="false">IFERROR(D39/$D$45,"")</f>
        <v>0.00679053613168606</v>
      </c>
    </row>
    <row r="40" customFormat="false" ht="15" hidden="false" customHeight="true" outlineLevel="0" collapsed="false">
      <c r="B40" s="72" t="str">
        <f aca="false">OreRichieste!A12</f>
        <v>Allestimento PROMO NF</v>
      </c>
      <c r="C40" s="72"/>
      <c r="D40" s="60" t="n">
        <f aca="false">OreRichieste!I12</f>
        <v>9.61951219512195</v>
      </c>
      <c r="E40" s="59" t="n">
        <f aca="false">IFERROR(D40/$D$45,"")</f>
        <v>0.0173710747466262</v>
      </c>
    </row>
    <row r="41" customFormat="false" ht="15" hidden="false" customHeight="true" outlineLevel="0" collapsed="false">
      <c r="B41" s="73" t="str">
        <f aca="false">OreRichieste!A13</f>
        <v>Barriera casse</v>
      </c>
      <c r="C41" s="73"/>
      <c r="D41" s="63" t="n">
        <f aca="false">OreRichieste!I13</f>
        <v>190</v>
      </c>
      <c r="E41" s="65" t="n">
        <f aca="false">IFERROR(D41/$D$45,"")</f>
        <v>0.343105152830167</v>
      </c>
    </row>
    <row r="42" customFormat="false" ht="15" hidden="false" customHeight="true" outlineLevel="0" collapsed="false">
      <c r="B42" s="72" t="str">
        <f aca="false">OreRichieste!A14</f>
        <v>Presidio SCO</v>
      </c>
      <c r="C42" s="72"/>
      <c r="D42" s="60" t="n">
        <f aca="false">OreRichieste!I14</f>
        <v>68</v>
      </c>
      <c r="E42" s="59" t="n">
        <f aca="false">IFERROR(D42/$D$45,"")</f>
        <v>0.122795528381323</v>
      </c>
    </row>
    <row r="43" customFormat="false" ht="15" hidden="false" customHeight="true" outlineLevel="0" collapsed="false">
      <c r="B43" s="73" t="str">
        <f aca="false">OreRichieste!A15</f>
        <v>Attivita fisse giornaliere</v>
      </c>
      <c r="C43" s="73"/>
      <c r="D43" s="63" t="n">
        <f aca="false">OreRichieste!I15</f>
        <v>80.5</v>
      </c>
      <c r="E43" s="65" t="n">
        <f aca="false">IFERROR(D43/$D$45,"")</f>
        <v>0.14536823580436</v>
      </c>
    </row>
    <row r="44" customFormat="false" ht="15" hidden="false" customHeight="true" outlineLevel="0" collapsed="false">
      <c r="B44" s="72" t="str">
        <f aca="false">OreRichieste!A16</f>
        <v>Attivita settimanali</v>
      </c>
      <c r="C44" s="72"/>
      <c r="D44" s="60" t="n">
        <f aca="false">OreRichieste!I16</f>
        <v>22</v>
      </c>
      <c r="E44" s="59" t="n">
        <f aca="false">IFERROR(D44/$D$45,"")</f>
        <v>0.0397279650645457</v>
      </c>
    </row>
    <row r="45" customFormat="false" ht="15" hidden="false" customHeight="true" outlineLevel="0" collapsed="false">
      <c r="B45" s="67" t="s">
        <v>71</v>
      </c>
      <c r="C45" s="67"/>
      <c r="D45" s="68" t="n">
        <f aca="false">OreRichieste!I17</f>
        <v>553.766093084728</v>
      </c>
      <c r="E45" s="70" t="n">
        <f aca="false">IFERROR(D45/$D$45,"")</f>
        <v>1</v>
      </c>
    </row>
    <row r="47" customFormat="false" ht="19.5" hidden="false" customHeight="true" outlineLevel="0" collapsed="false">
      <c r="B47" s="33" t="s">
        <v>76</v>
      </c>
      <c r="C47" s="33"/>
      <c r="D47" s="33"/>
      <c r="E47" s="33"/>
      <c r="F47" s="33"/>
      <c r="G47" s="33"/>
    </row>
    <row r="48" customFormat="false" ht="15" hidden="false" customHeight="true" outlineLevel="0" collapsed="false">
      <c r="B48" s="49" t="s">
        <v>77</v>
      </c>
      <c r="C48" s="49"/>
      <c r="D48" s="74" t="n">
        <f aca="false">Organico!I7*Parametri!B10</f>
        <v>12155</v>
      </c>
      <c r="E48" s="75"/>
    </row>
    <row r="49" customFormat="false" ht="15" hidden="false" customHeight="true" outlineLevel="0" collapsed="false">
      <c r="B49" s="54" t="s">
        <v>78</v>
      </c>
      <c r="C49" s="54"/>
      <c r="D49" s="76" t="n">
        <f aca="false">IFERROR(Parametri!B8*(1-Parametri!B16)/Casse!I19,"")</f>
        <v>29.9831321190986</v>
      </c>
      <c r="E49" s="77"/>
    </row>
    <row r="50" customFormat="false" ht="15" hidden="false" customHeight="true" outlineLevel="0" collapsed="false">
      <c r="B50" s="49" t="s">
        <v>79</v>
      </c>
      <c r="C50" s="49"/>
      <c r="D50" s="78" t="n">
        <f aca="false">MAX(Casse!B20:H20)</f>
        <v>3</v>
      </c>
      <c r="E50" s="75" t="str">
        <f aca="false">IF(D50&lt;=Parametri!B18,"OK","OLTRE DISPONIBILI")</f>
        <v>OK</v>
      </c>
    </row>
    <row r="51" customFormat="false" ht="15" hidden="false" customHeight="true" outlineLevel="0" collapsed="false">
      <c r="B51" s="54" t="s">
        <v>80</v>
      </c>
      <c r="C51" s="54"/>
      <c r="D51" s="79" t="n">
        <f aca="false">Casse!I25</f>
        <v>68</v>
      </c>
      <c r="E51" s="77"/>
    </row>
    <row r="53" customFormat="false" ht="19.5" hidden="false" customHeight="true" outlineLevel="0" collapsed="false">
      <c r="B53" s="33" t="s">
        <v>81</v>
      </c>
      <c r="C53" s="33"/>
      <c r="D53" s="33"/>
      <c r="E53" s="33"/>
      <c r="F53" s="33"/>
      <c r="G53" s="33"/>
    </row>
    <row r="54" customFormat="false" ht="15" hidden="false" customHeight="true" outlineLevel="0" collapsed="false">
      <c r="B54" s="49" t="s">
        <v>82</v>
      </c>
      <c r="C54" s="49"/>
      <c r="D54" s="80" t="n">
        <f aca="false">COUNTIF(Turni!AD5:AD27,"KO")</f>
        <v>0</v>
      </c>
      <c r="E54" s="53" t="str">
        <f aca="false">IF(D54=0,"OK","KO")</f>
        <v>OK</v>
      </c>
    </row>
    <row r="55" customFormat="false" ht="15" hidden="false" customHeight="true" outlineLevel="0" collapsed="false">
      <c r="B55" s="54" t="s">
        <v>83</v>
      </c>
      <c r="C55" s="54"/>
      <c r="D55" s="81" t="n">
        <f aca="false">SUMPRODUCT(--(ABS(Turni!AB5:AB27)&gt;0.05))</f>
        <v>21</v>
      </c>
      <c r="E55" s="57" t="str">
        <f aca="false">IF(D55=0,"OK","KO")</f>
        <v>KO</v>
      </c>
    </row>
    <row r="56" customFormat="false" ht="15" hidden="false" customHeight="true" outlineLevel="0" collapsed="false">
      <c r="B56" s="49" t="s">
        <v>84</v>
      </c>
      <c r="C56" s="49"/>
      <c r="D56" s="80" t="n">
        <f aca="false">Copertura!C70+Copertura!G70+Copertura!K70+Copertura!O70+Copertura!S70+Copertura!W70+Copertura!AA70</f>
        <v>7</v>
      </c>
      <c r="E56" s="53" t="str">
        <f aca="false">IF(D56=0,"OK","KO")</f>
        <v>KO</v>
      </c>
    </row>
    <row r="57" customFormat="false" ht="15" hidden="false" customHeight="true" outlineLevel="0" collapsed="false">
      <c r="B57" s="54" t="s">
        <v>85</v>
      </c>
      <c r="C57" s="54"/>
      <c r="D57" s="81" t="n">
        <f aca="false">Copertura!C71+Copertura!G71+Copertura!K71+Copertura!O71+Copertura!S71+Copertura!W71+Copertura!AA71</f>
        <v>0</v>
      </c>
      <c r="E57" s="57" t="str">
        <f aca="false">IF(D57=0,"OK","KO")</f>
        <v>OK</v>
      </c>
    </row>
    <row r="58" customFormat="false" ht="15" hidden="false" customHeight="true" outlineLevel="0" collapsed="false">
      <c r="B58" s="49" t="s">
        <v>86</v>
      </c>
      <c r="C58" s="49"/>
      <c r="D58" s="80" t="n">
        <f aca="false">COUNTIF(Turni!B33:H33,"&lt;"&amp;Parametri!B67)</f>
        <v>0</v>
      </c>
      <c r="E58" s="53" t="str">
        <f aca="false">IF(D58=0,"OK","KO")</f>
        <v>OK</v>
      </c>
    </row>
    <row r="59" customFormat="false" ht="15" hidden="false" customHeight="true" outlineLevel="0" collapsed="false">
      <c r="B59" s="54" t="s">
        <v>87</v>
      </c>
      <c r="C59" s="54"/>
      <c r="D59" s="81" t="n">
        <f aca="false">COUNTIF(Turni!B34:H34,"&lt;"&amp;Parametri!B68)</f>
        <v>0</v>
      </c>
      <c r="E59" s="57" t="str">
        <f aca="false">IF(D59=0,"OK","KO")</f>
        <v>OK</v>
      </c>
    </row>
  </sheetData>
  <mergeCells count="53">
    <mergeCell ref="B1:G2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3:G13"/>
    <mergeCell ref="B14:C14"/>
    <mergeCell ref="B15:C15"/>
    <mergeCell ref="B16:C16"/>
    <mergeCell ref="B17:C17"/>
    <mergeCell ref="B19:G19"/>
    <mergeCell ref="B30:G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7:G47"/>
    <mergeCell ref="B48:C48"/>
    <mergeCell ref="B49:C49"/>
    <mergeCell ref="B50:C50"/>
    <mergeCell ref="B51:C51"/>
    <mergeCell ref="B53:G53"/>
    <mergeCell ref="B54:C54"/>
    <mergeCell ref="B55:C55"/>
    <mergeCell ref="B56:C56"/>
    <mergeCell ref="B57:C57"/>
    <mergeCell ref="B58:C58"/>
    <mergeCell ref="B59:C59"/>
  </mergeCells>
  <conditionalFormatting sqref="B11:C11">
    <cfRule type="expression" priority="2" aboveAverage="0" equalAverage="0" bottom="0" percent="0" rank="0" text="" dxfId="4">
      <formula>OR(ISNUMBER(SEARCH("IN LINEA",B11)),ISNUMBER(SEARCH("OK",B11)))</formula>
    </cfRule>
    <cfRule type="expression" priority="3" aboveAverage="0" equalAverage="0" bottom="0" percent="0" rank="0" text="" dxfId="4">
      <formula>ISNUMBER(SEARCH("SOTTO",B11))</formula>
    </cfRule>
    <cfRule type="expression" priority="4" aboveAverage="0" equalAverage="0" bottom="0" percent="0" rank="0" text="" dxfId="4">
      <formula>OR(ISNUMBER(SEARCH("SOPRA",B11)),ISNUMBER(SEARCH("OLTRE",B11)),ISNUMBER(SEARCH("KO",B11)),ISNUMBER(SEARCH("NO RESP",B11)),ISNUMBER(SEARCH("ANOMAL",B11)))</formula>
    </cfRule>
  </conditionalFormatting>
  <conditionalFormatting sqref="D11:E11">
    <cfRule type="expression" priority="5" aboveAverage="0" equalAverage="0" bottom="0" percent="0" rank="0" text="" dxfId="4">
      <formula>OR(ISNUMBER(SEARCH("IN LINEA",D11)),ISNUMBER(SEARCH("OK",D11)))</formula>
    </cfRule>
    <cfRule type="expression" priority="6" aboveAverage="0" equalAverage="0" bottom="0" percent="0" rank="0" text="" dxfId="4">
      <formula>ISNUMBER(SEARCH("SOTTO",D11))</formula>
    </cfRule>
    <cfRule type="expression" priority="7" aboveAverage="0" equalAverage="0" bottom="0" percent="0" rank="0" text="" dxfId="4">
      <formula>OR(ISNUMBER(SEARCH("SOPRA",D11)),ISNUMBER(SEARCH("OLTRE",D11)),ISNUMBER(SEARCH("KO",D11)),ISNUMBER(SEARCH("NO RESP",D11)),ISNUMBER(SEARCH("ANOMAL",D11)))</formula>
    </cfRule>
  </conditionalFormatting>
  <conditionalFormatting sqref="F11:G11">
    <cfRule type="expression" priority="8" aboveAverage="0" equalAverage="0" bottom="0" percent="0" rank="0" text="" dxfId="4">
      <formula>OR(ISNUMBER(SEARCH("IN LINEA",F11)),ISNUMBER(SEARCH("OK",F11)))</formula>
    </cfRule>
    <cfRule type="expression" priority="9" aboveAverage="0" equalAverage="0" bottom="0" percent="0" rank="0" text="" dxfId="4">
      <formula>ISNUMBER(SEARCH("SOTTO",F11))</formula>
    </cfRule>
    <cfRule type="expression" priority="10" aboveAverage="0" equalAverage="0" bottom="0" percent="0" rank="0" text="" dxfId="4">
      <formula>OR(ISNUMBER(SEARCH("SOPRA",F11)),ISNUMBER(SEARCH("OLTRE",F11)),ISNUMBER(SEARCH("KO",F11)),ISNUMBER(SEARCH("NO RESP",F11)),ISNUMBER(SEARCH("ANOMAL",F11)))</formula>
    </cfRule>
  </conditionalFormatting>
  <conditionalFormatting sqref="G15:G17">
    <cfRule type="expression" priority="11" aboveAverage="0" equalAverage="0" bottom="0" percent="0" rank="0" text="" dxfId="4">
      <formula>OR(ISNUMBER(SEARCH("IN LINEA",G15)),ISNUMBER(SEARCH("OK",G15)))</formula>
    </cfRule>
    <cfRule type="expression" priority="12" aboveAverage="0" equalAverage="0" bottom="0" percent="0" rank="0" text="" dxfId="4">
      <formula>ISNUMBER(SEARCH("SOTTO",G15))</formula>
    </cfRule>
    <cfRule type="expression" priority="13" aboveAverage="0" equalAverage="0" bottom="0" percent="0" rank="0" text="" dxfId="4">
      <formula>OR(ISNUMBER(SEARCH("SOPRA",G15)),ISNUMBER(SEARCH("OLTRE",G15)),ISNUMBER(SEARCH("KO",G15)),ISNUMBER(SEARCH("NO RESP",G15)),ISNUMBER(SEARCH("ANOMAL",G15)))</formula>
    </cfRule>
  </conditionalFormatting>
  <conditionalFormatting sqref="E21:E27">
    <cfRule type="colorScale" priority="14">
      <colorScale>
        <cfvo type="num" val="-8"/>
        <cfvo type="num" val="0"/>
        <cfvo type="num" val="8"/>
        <color rgb="FFF5A9AE"/>
        <color rgb="FFFFFFFF"/>
        <color rgb="FFA9D9B5"/>
      </colorScale>
    </cfRule>
  </conditionalFormatting>
  <conditionalFormatting sqref="F21:F28">
    <cfRule type="expression" priority="15" aboveAverage="0" equalAverage="0" bottom="0" percent="0" rank="0" text="" dxfId="4">
      <formula>F21&gt;1</formula>
    </cfRule>
  </conditionalFormatting>
  <conditionalFormatting sqref="D32:D44">
    <cfRule type="dataBar" priority="16">
      <dataBar showValue="1" minLength="10" maxLength="90">
        <cfvo type="num" val="0"/>
        <cfvo type="max" val="0"/>
        <color rgb="FF2E75C8"/>
      </dataBar>
      <extLst>
        <ext xmlns:x14="http://schemas.microsoft.com/office/spreadsheetml/2009/9/main" uri="{B025F937-C7B1-47D3-B67F-A62EFF666E3E}">
          <x14:id>{688C6DB1-3EE2-425C-AF1A-CD6410784CFA}</x14:id>
        </ext>
      </extLst>
    </cfRule>
  </conditionalFormatting>
  <conditionalFormatting sqref="E48:E51">
    <cfRule type="expression" priority="17" aboveAverage="0" equalAverage="0" bottom="0" percent="0" rank="0" text="" dxfId="4">
      <formula>OR(ISNUMBER(SEARCH("IN LINEA",E48)),ISNUMBER(SEARCH("OK",E48)))</formula>
    </cfRule>
    <cfRule type="expression" priority="18" aboveAverage="0" equalAverage="0" bottom="0" percent="0" rank="0" text="" dxfId="4">
      <formula>ISNUMBER(SEARCH("SOTTO",E48))</formula>
    </cfRule>
    <cfRule type="expression" priority="19" aboveAverage="0" equalAverage="0" bottom="0" percent="0" rank="0" text="" dxfId="4">
      <formula>OR(ISNUMBER(SEARCH("SOPRA",E48)),ISNUMBER(SEARCH("OLTRE",E48)),ISNUMBER(SEARCH("KO",E48)),ISNUMBER(SEARCH("NO RESP",E48)),ISNUMBER(SEARCH("ANOMAL",E48)))</formula>
    </cfRule>
  </conditionalFormatting>
  <conditionalFormatting sqref="E54:E59">
    <cfRule type="expression" priority="20" aboveAverage="0" equalAverage="0" bottom="0" percent="0" rank="0" text="" dxfId="4">
      <formula>OR(ISNUMBER(SEARCH("IN LINEA",E54)),ISNUMBER(SEARCH("OK",E54)))</formula>
    </cfRule>
    <cfRule type="expression" priority="21" aboveAverage="0" equalAverage="0" bottom="0" percent="0" rank="0" text="" dxfId="4">
      <formula>ISNUMBER(SEARCH("SOTTO",E54))</formula>
    </cfRule>
    <cfRule type="expression" priority="22" aboveAverage="0" equalAverage="0" bottom="0" percent="0" rank="0" text="" dxfId="4">
      <formula>OR(ISNUMBER(SEARCH("SOPRA",E54)),ISNUMBER(SEARCH("OLTRE",E54)),ISNUMBER(SEARCH("KO",E54)),ISNUMBER(SEARCH("NO RESP",E54)),ISNUMBER(SEARCH("ANOMAL",E54)))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8C6DB1-3EE2-425C-AF1A-CD6410784CFA}">
            <x14:dataBar minLength="10" maxLength="90" axisPosition="none" gradient="true">
              <x14:cfvo type="num">
                <xm:f>0</xm:f>
              </x14:cfvo>
              <x14:cfvo type="max"/>
              <x14:negativeFillColor rgb="FF2E75C8"/>
              <x14:axisColor rgb="FF000000"/>
            </x14:dataBar>
          </x14:cfRule>
          <xm:sqref>D32:D44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C8"/>
    <pageSetUpPr fitToPage="true"/>
  </sheetPr>
  <dimension ref="A1:S104857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K17" activeCellId="0" sqref="K17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3.57"/>
    <col collapsed="false" customWidth="true" hidden="false" outlineLevel="0" max="2" min="2" style="1" width="25"/>
    <col collapsed="false" customWidth="true" hidden="false" outlineLevel="0" max="6" min="3" style="1" width="12"/>
    <col collapsed="false" customWidth="true" hidden="false" outlineLevel="0" max="1025" min="7" style="1" width="8.67"/>
  </cols>
  <sheetData>
    <row r="1" customFormat="false" ht="25.5" hidden="false" customHeight="true" outlineLevel="0" collapsed="false">
      <c r="A1" s="82" t="s">
        <v>88</v>
      </c>
      <c r="B1" s="82"/>
      <c r="C1" s="82"/>
      <c r="D1" s="82"/>
      <c r="E1" s="82"/>
      <c r="F1" s="82"/>
      <c r="J1" s="1" t="s">
        <v>89</v>
      </c>
      <c r="K1" s="1" t="s">
        <v>90</v>
      </c>
    </row>
    <row r="2" customFormat="false" ht="15" hidden="false" customHeight="true" outlineLevel="0" collapsed="false">
      <c r="A2" s="38" t="s">
        <v>91</v>
      </c>
    </row>
    <row r="4" customFormat="false" ht="15" hidden="false" customHeight="true" outlineLevel="0" collapsed="false">
      <c r="A4" s="48" t="s">
        <v>92</v>
      </c>
      <c r="B4" s="48" t="s">
        <v>93</v>
      </c>
      <c r="C4" s="48" t="s">
        <v>94</v>
      </c>
      <c r="D4" s="48" t="s">
        <v>95</v>
      </c>
      <c r="E4" s="48" t="s">
        <v>96</v>
      </c>
      <c r="F4" s="48" t="s">
        <v>97</v>
      </c>
      <c r="H4" s="83" t="s">
        <v>98</v>
      </c>
      <c r="I4" s="84" t="s">
        <v>99</v>
      </c>
      <c r="L4" s="48" t="s">
        <v>8</v>
      </c>
      <c r="M4" s="48" t="s">
        <v>9</v>
      </c>
      <c r="N4" s="48" t="s">
        <v>10</v>
      </c>
      <c r="O4" s="48" t="s">
        <v>11</v>
      </c>
      <c r="P4" s="48" t="s">
        <v>12</v>
      </c>
      <c r="Q4" s="48" t="s">
        <v>13</v>
      </c>
      <c r="R4" s="48" t="s">
        <v>14</v>
      </c>
      <c r="S4" s="84" t="s">
        <v>100</v>
      </c>
    </row>
    <row r="5" customFormat="false" ht="13.5" hidden="false" customHeight="true" outlineLevel="0" collapsed="false">
      <c r="A5" s="85" t="s">
        <v>101</v>
      </c>
      <c r="B5" s="86" t="s">
        <v>102</v>
      </c>
      <c r="C5" s="87" t="n">
        <v>38</v>
      </c>
      <c r="D5" s="87" t="n">
        <v>6</v>
      </c>
      <c r="E5" s="88" t="n">
        <f aca="false">IF(D5&gt;0,C5/D5,0)</f>
        <v>6.33333333333333</v>
      </c>
      <c r="F5" s="89" t="n">
        <f aca="false">7-D5</f>
        <v>1</v>
      </c>
      <c r="H5" s="90"/>
      <c r="I5" s="91" t="n">
        <f aca="false">IF($H5&lt;&gt;"",$C5,0)</f>
        <v>0</v>
      </c>
    </row>
    <row r="6" customFormat="false" ht="13.5" hidden="false" customHeight="true" outlineLevel="0" collapsed="false">
      <c r="A6" s="92" t="s">
        <v>103</v>
      </c>
      <c r="B6" s="93" t="s">
        <v>102</v>
      </c>
      <c r="C6" s="94" t="n">
        <v>25</v>
      </c>
      <c r="D6" s="94" t="n">
        <v>6</v>
      </c>
      <c r="E6" s="95" t="n">
        <f aca="false">IF(D6&gt;0,C6/D6,0)</f>
        <v>4.16666666666667</v>
      </c>
      <c r="F6" s="89" t="n">
        <f aca="false">7-D6</f>
        <v>1</v>
      </c>
      <c r="H6" s="90"/>
      <c r="I6" s="91" t="n">
        <f aca="false">IF($H6&lt;&gt;"",$C6,0)</f>
        <v>0</v>
      </c>
    </row>
    <row r="7" customFormat="false" ht="13.5" hidden="false" customHeight="true" outlineLevel="0" collapsed="false">
      <c r="A7" s="85" t="s">
        <v>104</v>
      </c>
      <c r="B7" s="86" t="s">
        <v>102</v>
      </c>
      <c r="C7" s="87" t="n">
        <v>25</v>
      </c>
      <c r="D7" s="87" t="n">
        <v>5</v>
      </c>
      <c r="E7" s="88" t="n">
        <f aca="false">IF(D7&gt;0,C7/D7,0)</f>
        <v>5</v>
      </c>
      <c r="F7" s="89" t="n">
        <f aca="false">7-D7</f>
        <v>2</v>
      </c>
      <c r="H7" s="90"/>
      <c r="I7" s="91" t="n">
        <f aca="false">IF($H7&lt;&gt;"",$C7,0)</f>
        <v>0</v>
      </c>
    </row>
    <row r="8" customFormat="false" ht="13.5" hidden="false" customHeight="true" outlineLevel="0" collapsed="false">
      <c r="A8" s="92" t="s">
        <v>105</v>
      </c>
      <c r="B8" s="93" t="s">
        <v>102</v>
      </c>
      <c r="C8" s="94" t="n">
        <v>25</v>
      </c>
      <c r="D8" s="94" t="n">
        <v>5</v>
      </c>
      <c r="E8" s="95" t="n">
        <f aca="false">IF(D8&gt;0,C8/D8,0)</f>
        <v>5</v>
      </c>
      <c r="F8" s="89" t="n">
        <f aca="false">7-D8</f>
        <v>2</v>
      </c>
      <c r="H8" s="90"/>
      <c r="I8" s="91" t="n">
        <f aca="false">IF($H8&lt;&gt;"",$C8,0)</f>
        <v>0</v>
      </c>
    </row>
    <row r="9" customFormat="false" ht="13.5" hidden="false" customHeight="true" outlineLevel="0" collapsed="false">
      <c r="A9" s="85" t="s">
        <v>106</v>
      </c>
      <c r="B9" s="86" t="s">
        <v>102</v>
      </c>
      <c r="C9" s="87" t="n">
        <v>40</v>
      </c>
      <c r="D9" s="87" t="n">
        <v>6</v>
      </c>
      <c r="E9" s="88" t="n">
        <f aca="false">IF(D9&gt;0,C9/D9,0)</f>
        <v>6.66666666666667</v>
      </c>
      <c r="F9" s="89" t="n">
        <f aca="false">7-D9</f>
        <v>1</v>
      </c>
      <c r="H9" s="90" t="s">
        <v>107</v>
      </c>
      <c r="I9" s="91" t="n">
        <f aca="false">IF($H9&lt;&gt;"",$C9,0)</f>
        <v>40</v>
      </c>
    </row>
    <row r="10" customFormat="false" ht="13.5" hidden="false" customHeight="true" outlineLevel="0" collapsed="false">
      <c r="A10" s="92" t="s">
        <v>108</v>
      </c>
      <c r="B10" s="93" t="s">
        <v>102</v>
      </c>
      <c r="C10" s="94" t="n">
        <v>25</v>
      </c>
      <c r="D10" s="94" t="n">
        <v>5</v>
      </c>
      <c r="E10" s="95" t="n">
        <f aca="false">IF(D10&gt;0,C10/D10,0)</f>
        <v>5</v>
      </c>
      <c r="F10" s="89" t="n">
        <f aca="false">7-D10</f>
        <v>2</v>
      </c>
      <c r="H10" s="90"/>
      <c r="I10" s="91" t="n">
        <f aca="false">IF($H10&lt;&gt;"",$C10,0)</f>
        <v>0</v>
      </c>
    </row>
    <row r="11" customFormat="false" ht="13.5" hidden="false" customHeight="true" outlineLevel="0" collapsed="false">
      <c r="A11" s="85" t="s">
        <v>109</v>
      </c>
      <c r="B11" s="86" t="s">
        <v>102</v>
      </c>
      <c r="C11" s="87" t="n">
        <v>25</v>
      </c>
      <c r="D11" s="87" t="n">
        <v>5</v>
      </c>
      <c r="E11" s="88" t="n">
        <f aca="false">IF(D11&gt;0,C11/D11,0)</f>
        <v>5</v>
      </c>
      <c r="F11" s="89" t="n">
        <f aca="false">7-D11</f>
        <v>2</v>
      </c>
      <c r="H11" s="90"/>
      <c r="I11" s="91" t="n">
        <f aca="false">IF($H11&lt;&gt;"",$C11,0)</f>
        <v>0</v>
      </c>
    </row>
    <row r="12" customFormat="false" ht="13.5" hidden="false" customHeight="true" outlineLevel="0" collapsed="false">
      <c r="A12" s="92" t="s">
        <v>110</v>
      </c>
      <c r="B12" s="93" t="s">
        <v>111</v>
      </c>
      <c r="C12" s="94" t="n">
        <v>25</v>
      </c>
      <c r="D12" s="94" t="n">
        <v>5</v>
      </c>
      <c r="E12" s="95" t="n">
        <f aca="false">IF(D12&gt;0,C12/D12,0)</f>
        <v>5</v>
      </c>
      <c r="F12" s="89" t="n">
        <f aca="false">7-D12</f>
        <v>2</v>
      </c>
      <c r="H12" s="90"/>
      <c r="I12" s="91" t="n">
        <f aca="false">IF($H12&lt;&gt;"",$C12,0)</f>
        <v>0</v>
      </c>
    </row>
    <row r="13" customFormat="false" ht="13.5" hidden="false" customHeight="true" outlineLevel="0" collapsed="false">
      <c r="A13" s="85" t="s">
        <v>112</v>
      </c>
      <c r="B13" s="86" t="s">
        <v>111</v>
      </c>
      <c r="C13" s="87" t="n">
        <v>20</v>
      </c>
      <c r="D13" s="87" t="n">
        <v>5</v>
      </c>
      <c r="E13" s="88" t="n">
        <f aca="false">IF(D13&gt;0,C13/D13,0)</f>
        <v>4</v>
      </c>
      <c r="F13" s="89" t="n">
        <f aca="false">7-D13</f>
        <v>2</v>
      </c>
      <c r="H13" s="90"/>
      <c r="I13" s="91" t="n">
        <f aca="false">IF($H13&lt;&gt;"",$C13,0)</f>
        <v>0</v>
      </c>
    </row>
    <row r="14" customFormat="false" ht="13.5" hidden="false" customHeight="true" outlineLevel="0" collapsed="false">
      <c r="A14" s="92" t="s">
        <v>113</v>
      </c>
      <c r="B14" s="93" t="s">
        <v>111</v>
      </c>
      <c r="C14" s="94" t="n">
        <v>25</v>
      </c>
      <c r="D14" s="94" t="n">
        <v>5</v>
      </c>
      <c r="E14" s="95" t="n">
        <f aca="false">IF(D14&gt;0,C14/D14,0)</f>
        <v>5</v>
      </c>
      <c r="F14" s="89" t="n">
        <f aca="false">7-D14</f>
        <v>2</v>
      </c>
      <c r="H14" s="90"/>
      <c r="I14" s="91" t="n">
        <f aca="false">IF($H14&lt;&gt;"",$C14,0)</f>
        <v>0</v>
      </c>
    </row>
    <row r="15" customFormat="false" ht="13.5" hidden="false" customHeight="true" outlineLevel="0" collapsed="false">
      <c r="A15" s="85" t="s">
        <v>114</v>
      </c>
      <c r="B15" s="86" t="s">
        <v>111</v>
      </c>
      <c r="C15" s="87" t="n">
        <v>25</v>
      </c>
      <c r="D15" s="87" t="n">
        <v>5</v>
      </c>
      <c r="E15" s="88" t="n">
        <f aca="false">IF(D15&gt;0,C15/D15,0)</f>
        <v>5</v>
      </c>
      <c r="F15" s="89" t="n">
        <f aca="false">7-D15</f>
        <v>2</v>
      </c>
      <c r="H15" s="90"/>
      <c r="I15" s="91" t="n">
        <f aca="false">IF($H15&lt;&gt;"",$C15,0)</f>
        <v>0</v>
      </c>
    </row>
    <row r="16" customFormat="false" ht="13.5" hidden="false" customHeight="true" outlineLevel="0" collapsed="false">
      <c r="A16" s="85" t="s">
        <v>115</v>
      </c>
      <c r="B16" s="86" t="s">
        <v>111</v>
      </c>
      <c r="C16" s="87" t="n">
        <v>25</v>
      </c>
      <c r="D16" s="87" t="n">
        <v>5</v>
      </c>
      <c r="E16" s="88" t="n">
        <f aca="false">IF(D16&gt;0,C16/D16,0)</f>
        <v>5</v>
      </c>
      <c r="F16" s="89" t="n">
        <f aca="false">7-D16</f>
        <v>2</v>
      </c>
      <c r="H16" s="90"/>
      <c r="I16" s="91" t="n">
        <f aca="false">IF($H16&lt;&gt;"",$C16,0)</f>
        <v>0</v>
      </c>
    </row>
    <row r="17" customFormat="false" ht="13.5" hidden="false" customHeight="true" outlineLevel="0" collapsed="false">
      <c r="A17" s="92" t="s">
        <v>116</v>
      </c>
      <c r="B17" s="93" t="s">
        <v>111</v>
      </c>
      <c r="C17" s="94" t="n">
        <v>25</v>
      </c>
      <c r="D17" s="94" t="n">
        <v>5</v>
      </c>
      <c r="E17" s="95" t="n">
        <f aca="false">IF(D17&gt;0,C17/D17,0)</f>
        <v>5</v>
      </c>
      <c r="F17" s="89" t="n">
        <f aca="false">7-D17</f>
        <v>2</v>
      </c>
      <c r="H17" s="90"/>
      <c r="I17" s="91" t="n">
        <f aca="false">IF($H17&lt;&gt;"",$C17,0)</f>
        <v>0</v>
      </c>
    </row>
    <row r="18" customFormat="false" ht="13.5" hidden="false" customHeight="true" outlineLevel="0" collapsed="false">
      <c r="A18" s="85" t="s">
        <v>117</v>
      </c>
      <c r="B18" s="86" t="s">
        <v>111</v>
      </c>
      <c r="C18" s="87" t="n">
        <v>25</v>
      </c>
      <c r="D18" s="87" t="n">
        <v>5</v>
      </c>
      <c r="E18" s="88" t="n">
        <f aca="false">IF(D18&gt;0,C18/D18,0)</f>
        <v>5</v>
      </c>
      <c r="F18" s="89" t="n">
        <f aca="false">7-D18</f>
        <v>2</v>
      </c>
      <c r="H18" s="90"/>
      <c r="I18" s="91" t="n">
        <f aca="false">IF($H18&lt;&gt;"",$C18,0)</f>
        <v>0</v>
      </c>
    </row>
    <row r="19" customFormat="false" ht="13.5" hidden="false" customHeight="true" outlineLevel="0" collapsed="false">
      <c r="A19" s="92" t="s">
        <v>118</v>
      </c>
      <c r="B19" s="93" t="s">
        <v>111</v>
      </c>
      <c r="C19" s="94" t="n">
        <v>25</v>
      </c>
      <c r="D19" s="94" t="n">
        <v>5</v>
      </c>
      <c r="E19" s="95" t="n">
        <f aca="false">IF(D19&gt;0,C19/D19,0)</f>
        <v>5</v>
      </c>
      <c r="F19" s="89" t="n">
        <f aca="false">7-D19</f>
        <v>2</v>
      </c>
      <c r="H19" s="90"/>
      <c r="I19" s="91" t="n">
        <f aca="false">IF($H19&lt;&gt;"",$C19,0)</f>
        <v>0</v>
      </c>
    </row>
    <row r="20" customFormat="false" ht="13.5" hidden="false" customHeight="true" outlineLevel="0" collapsed="false">
      <c r="A20" s="85" t="s">
        <v>119</v>
      </c>
      <c r="B20" s="86" t="s">
        <v>111</v>
      </c>
      <c r="C20" s="87" t="n">
        <v>30</v>
      </c>
      <c r="D20" s="87" t="n">
        <v>5</v>
      </c>
      <c r="E20" s="88" t="n">
        <f aca="false">IF(D20&gt;0,C20/D20,0)</f>
        <v>6</v>
      </c>
      <c r="F20" s="89" t="n">
        <f aca="false">7-D20</f>
        <v>2</v>
      </c>
      <c r="H20" s="90"/>
      <c r="I20" s="91" t="n">
        <f aca="false">IF($H20&lt;&gt;"",$C20,0)</f>
        <v>0</v>
      </c>
    </row>
    <row r="21" customFormat="false" ht="13.5" hidden="false" customHeight="true" outlineLevel="0" collapsed="false">
      <c r="A21" s="92" t="s">
        <v>120</v>
      </c>
      <c r="B21" s="93" t="s">
        <v>111</v>
      </c>
      <c r="C21" s="94" t="n">
        <v>25</v>
      </c>
      <c r="D21" s="94" t="n">
        <v>5</v>
      </c>
      <c r="E21" s="95" t="n">
        <f aca="false">IF(D21&gt;0,C21/D21,0)</f>
        <v>5</v>
      </c>
      <c r="F21" s="89" t="n">
        <f aca="false">7-D21</f>
        <v>2</v>
      </c>
      <c r="H21" s="90"/>
      <c r="I21" s="91" t="n">
        <f aca="false">IF($H21&lt;&gt;"",$C21,0)</f>
        <v>0</v>
      </c>
    </row>
    <row r="22" customFormat="false" ht="13.5" hidden="false" customHeight="true" outlineLevel="0" collapsed="false">
      <c r="A22" s="85" t="s">
        <v>121</v>
      </c>
      <c r="B22" s="86" t="s">
        <v>111</v>
      </c>
      <c r="C22" s="87" t="n">
        <v>25</v>
      </c>
      <c r="D22" s="87" t="n">
        <v>5</v>
      </c>
      <c r="E22" s="88" t="n">
        <f aca="false">IF(D22&gt;0,C22/D22,0)</f>
        <v>5</v>
      </c>
      <c r="F22" s="89" t="n">
        <f aca="false">7-D22</f>
        <v>2</v>
      </c>
      <c r="H22" s="90" t="s">
        <v>107</v>
      </c>
      <c r="I22" s="91" t="n">
        <f aca="false">IF($H22&lt;&gt;"",$C22,0)</f>
        <v>25</v>
      </c>
    </row>
    <row r="23" customFormat="false" ht="13.5" hidden="false" customHeight="true" outlineLevel="0" collapsed="false">
      <c r="A23" s="92" t="s">
        <v>122</v>
      </c>
      <c r="B23" s="93" t="s">
        <v>111</v>
      </c>
      <c r="C23" s="94" t="n">
        <v>25</v>
      </c>
      <c r="D23" s="94" t="n">
        <v>5</v>
      </c>
      <c r="E23" s="95" t="n">
        <f aca="false">IF(D23&gt;0,C23/D23,0)</f>
        <v>5</v>
      </c>
      <c r="F23" s="89" t="n">
        <f aca="false">7-D23</f>
        <v>2</v>
      </c>
      <c r="H23" s="90" t="s">
        <v>107</v>
      </c>
      <c r="I23" s="91" t="n">
        <f aca="false">IF($H23&lt;&gt;"",$C23,0)</f>
        <v>25</v>
      </c>
    </row>
    <row r="24" customFormat="false" ht="13.5" hidden="false" customHeight="true" outlineLevel="0" collapsed="false">
      <c r="A24" s="85" t="s">
        <v>123</v>
      </c>
      <c r="B24" s="86" t="s">
        <v>111</v>
      </c>
      <c r="C24" s="87" t="n">
        <v>30</v>
      </c>
      <c r="D24" s="87" t="n">
        <v>5</v>
      </c>
      <c r="E24" s="88" t="n">
        <f aca="false">IF(D24&gt;0,C24/D24,0)</f>
        <v>6</v>
      </c>
      <c r="F24" s="89" t="n">
        <f aca="false">7-D24</f>
        <v>2</v>
      </c>
      <c r="H24" s="90"/>
      <c r="I24" s="91" t="n">
        <f aca="false">IF($H24&lt;&gt;"",$C24,0)</f>
        <v>0</v>
      </c>
    </row>
    <row r="25" customFormat="false" ht="13.5" hidden="false" customHeight="true" outlineLevel="0" collapsed="false">
      <c r="A25" s="92" t="s">
        <v>124</v>
      </c>
      <c r="B25" s="93" t="s">
        <v>111</v>
      </c>
      <c r="C25" s="94" t="n">
        <v>25</v>
      </c>
      <c r="D25" s="94" t="n">
        <v>5</v>
      </c>
      <c r="E25" s="95" t="n">
        <f aca="false">IF(D25&gt;0,C25/D25,0)</f>
        <v>5</v>
      </c>
      <c r="F25" s="89" t="n">
        <f aca="false">7-D25</f>
        <v>2</v>
      </c>
      <c r="H25" s="90" t="s">
        <v>107</v>
      </c>
      <c r="I25" s="91" t="n">
        <f aca="false">IF($H25&lt;&gt;"",$C25,0)</f>
        <v>25</v>
      </c>
    </row>
    <row r="26" customFormat="false" ht="13.5" hidden="false" customHeight="true" outlineLevel="0" collapsed="false">
      <c r="A26" s="85" t="s">
        <v>125</v>
      </c>
      <c r="B26" s="86" t="s">
        <v>111</v>
      </c>
      <c r="C26" s="87" t="n">
        <v>25</v>
      </c>
      <c r="D26" s="87" t="n">
        <v>5</v>
      </c>
      <c r="E26" s="88" t="n">
        <f aca="false">IF(D26&gt;0,C26/D26,0)</f>
        <v>5</v>
      </c>
      <c r="F26" s="89" t="n">
        <f aca="false">7-D26</f>
        <v>2</v>
      </c>
      <c r="H26" s="90"/>
      <c r="I26" s="91" t="n">
        <f aca="false">IF($H26&lt;&gt;"",$C26,0)</f>
        <v>0</v>
      </c>
    </row>
    <row r="27" customFormat="false" ht="13.5" hidden="false" customHeight="true" outlineLevel="0" collapsed="false">
      <c r="A27" s="92" t="s">
        <v>126</v>
      </c>
      <c r="B27" s="93" t="s">
        <v>111</v>
      </c>
      <c r="C27" s="94" t="n">
        <v>20</v>
      </c>
      <c r="D27" s="94" t="n">
        <v>5</v>
      </c>
      <c r="E27" s="95" t="n">
        <f aca="false">IF(D27&gt;0,C27/D27,0)</f>
        <v>4</v>
      </c>
      <c r="F27" s="89" t="n">
        <f aca="false">7-D27</f>
        <v>2</v>
      </c>
      <c r="H27" s="90"/>
      <c r="I27" s="91" t="n">
        <f aca="false">IF($H27&lt;&gt;"",$C27,0)</f>
        <v>0</v>
      </c>
    </row>
    <row r="28" customFormat="false" ht="13.5" hidden="false" customHeight="true" outlineLevel="0" collapsed="false">
      <c r="A28" s="85" t="s">
        <v>127</v>
      </c>
      <c r="B28" s="86" t="s">
        <v>111</v>
      </c>
      <c r="C28" s="87" t="n">
        <v>25</v>
      </c>
      <c r="D28" s="87" t="n">
        <v>5</v>
      </c>
      <c r="E28" s="88" t="n">
        <f aca="false">IF(D28&gt;0,C28/D28,0)</f>
        <v>5</v>
      </c>
      <c r="F28" s="89" t="n">
        <f aca="false">7-D28</f>
        <v>2</v>
      </c>
      <c r="H28" s="90" t="s">
        <v>107</v>
      </c>
      <c r="I28" s="91" t="n">
        <f aca="false">IF($H28&lt;&gt;"",$C28,0)</f>
        <v>25</v>
      </c>
    </row>
    <row r="29" customFormat="false" ht="13.5" hidden="false" customHeight="true" outlineLevel="0" collapsed="false">
      <c r="A29" s="92" t="s">
        <v>128</v>
      </c>
      <c r="B29" s="93" t="s">
        <v>111</v>
      </c>
      <c r="C29" s="94" t="n">
        <v>8</v>
      </c>
      <c r="D29" s="94" t="n">
        <v>1</v>
      </c>
      <c r="E29" s="95" t="n">
        <f aca="false">IF(D29&gt;0,C29/D29,0)</f>
        <v>8</v>
      </c>
      <c r="F29" s="89" t="n">
        <f aca="false">7-D29</f>
        <v>6</v>
      </c>
      <c r="H29" s="90"/>
      <c r="I29" s="91" t="n">
        <f aca="false">IF($H29&lt;&gt;"",$C29,0)</f>
        <v>0</v>
      </c>
    </row>
    <row r="30" customFormat="false" ht="13.5" hidden="false" customHeight="true" outlineLevel="0" collapsed="false">
      <c r="A30" s="85" t="s">
        <v>129</v>
      </c>
      <c r="B30" s="86" t="s">
        <v>111</v>
      </c>
      <c r="C30" s="87" t="n">
        <v>8</v>
      </c>
      <c r="D30" s="87" t="n">
        <v>1</v>
      </c>
      <c r="E30" s="88" t="n">
        <f aca="false">IF(D30&gt;0,C30/D30,0)</f>
        <v>8</v>
      </c>
      <c r="F30" s="89" t="n">
        <f aca="false">7-D30</f>
        <v>6</v>
      </c>
      <c r="H30" s="90"/>
      <c r="I30" s="91" t="n">
        <f aca="false">IF($H30&lt;&gt;"",$C30,0)</f>
        <v>0</v>
      </c>
    </row>
    <row r="31" customFormat="false" ht="13.5" hidden="false" customHeight="true" outlineLevel="0" collapsed="false">
      <c r="E31" s="95" t="n">
        <f aca="false">IF(D31&gt;0,C31/D31,0)</f>
        <v>0</v>
      </c>
      <c r="F31" s="89" t="n">
        <f aca="false">7-D31</f>
        <v>7</v>
      </c>
      <c r="H31" s="90"/>
      <c r="I31" s="91" t="n">
        <f aca="false">IF($H31&lt;&gt;"",$C31,0)</f>
        <v>0</v>
      </c>
    </row>
    <row r="32" customFormat="false" ht="13.5" hidden="false" customHeight="true" outlineLevel="0" collapsed="false">
      <c r="E32" s="88" t="n">
        <f aca="false">IF(D32&gt;0,C32/D32,0)</f>
        <v>0</v>
      </c>
      <c r="F32" s="89" t="n">
        <f aca="false">7-D32</f>
        <v>7</v>
      </c>
      <c r="H32" s="90"/>
      <c r="I32" s="91" t="n">
        <f aca="false">IF($H32&lt;&gt;"",$C32,0)</f>
        <v>0</v>
      </c>
    </row>
    <row r="33" customFormat="false" ht="13.5" hidden="false" customHeight="true" outlineLevel="0" collapsed="false">
      <c r="E33" s="95" t="n">
        <f aca="false">IF(D33&gt;0,C33/D33,0)</f>
        <v>0</v>
      </c>
      <c r="F33" s="89" t="n">
        <f aca="false">7-D33</f>
        <v>7</v>
      </c>
      <c r="H33" s="90"/>
      <c r="I33" s="91" t="n">
        <f aca="false">IF($H33&lt;&gt;"",$C33,0)</f>
        <v>0</v>
      </c>
    </row>
    <row r="34" customFormat="false" ht="13.5" hidden="false" customHeight="true" outlineLevel="0" collapsed="false">
      <c r="E34" s="88" t="n">
        <f aca="false">IF(D34&gt;0,C34/D34,0)</f>
        <v>0</v>
      </c>
      <c r="F34" s="89" t="n">
        <f aca="false">7-D34</f>
        <v>7</v>
      </c>
      <c r="H34" s="90"/>
      <c r="I34" s="91" t="n">
        <f aca="false">IF($H34&lt;&gt;"",$C34,0)</f>
        <v>0</v>
      </c>
    </row>
    <row r="35" customFormat="false" ht="13.5" hidden="false" customHeight="true" outlineLevel="0" collapsed="false">
      <c r="E35" s="95" t="n">
        <f aca="false">IF(D35&gt;0,C35/D35,0)</f>
        <v>0</v>
      </c>
      <c r="F35" s="89" t="n">
        <f aca="false">7-D35</f>
        <v>7</v>
      </c>
      <c r="H35" s="90"/>
      <c r="I35" s="91" t="n">
        <f aca="false">IF($H35&lt;&gt;"",$C35,0)</f>
        <v>0</v>
      </c>
    </row>
    <row r="36" customFormat="false" ht="13.5" hidden="false" customHeight="true" outlineLevel="0" collapsed="false">
      <c r="E36" s="88" t="n">
        <f aca="false">IF(D36&gt;0,C36/D36,0)</f>
        <v>0</v>
      </c>
      <c r="F36" s="89" t="n">
        <f aca="false">7-D36</f>
        <v>7</v>
      </c>
      <c r="H36" s="90"/>
      <c r="I36" s="91" t="n">
        <f aca="false">IF($H36&lt;&gt;"",$C36,0)</f>
        <v>0</v>
      </c>
    </row>
    <row r="37" customFormat="false" ht="13.5" hidden="false" customHeight="true" outlineLevel="0" collapsed="false">
      <c r="E37" s="95" t="n">
        <f aca="false">IF(D37&gt;0,C37/D37,0)</f>
        <v>0</v>
      </c>
      <c r="F37" s="89" t="n">
        <f aca="false">7-D37</f>
        <v>7</v>
      </c>
      <c r="H37" s="90"/>
      <c r="I37" s="91" t="n">
        <f aca="false">IF($H37&lt;&gt;"",$C37,0)</f>
        <v>0</v>
      </c>
    </row>
    <row r="38" customFormat="false" ht="13.5" hidden="false" customHeight="true" outlineLevel="0" collapsed="false">
      <c r="E38" s="88" t="n">
        <f aca="false">IF(D38&gt;0,C38/D38,0)</f>
        <v>0</v>
      </c>
      <c r="F38" s="89" t="n">
        <f aca="false">7-D38</f>
        <v>7</v>
      </c>
      <c r="H38" s="90"/>
      <c r="I38" s="91" t="n">
        <f aca="false">IF($H38&lt;&gt;"",$C38,0)</f>
        <v>0</v>
      </c>
    </row>
    <row r="39" customFormat="false" ht="13.5" hidden="false" customHeight="true" outlineLevel="0" collapsed="false">
      <c r="E39" s="95" t="n">
        <f aca="false">IF(D39&gt;0,C39/D39,0)</f>
        <v>0</v>
      </c>
      <c r="F39" s="89" t="n">
        <f aca="false">7-D39</f>
        <v>7</v>
      </c>
      <c r="H39" s="90"/>
      <c r="I39" s="91" t="n">
        <f aca="false">IF($H39&lt;&gt;"",$C39,0)</f>
        <v>0</v>
      </c>
    </row>
    <row r="40" customFormat="false" ht="13.5" hidden="false" customHeight="true" outlineLevel="0" collapsed="false">
      <c r="E40" s="88" t="n">
        <f aca="false">IF(D40&gt;0,C40/D40,0)</f>
        <v>0</v>
      </c>
      <c r="F40" s="89" t="n">
        <f aca="false">7-D40</f>
        <v>7</v>
      </c>
      <c r="H40" s="90"/>
      <c r="I40" s="91" t="n">
        <f aca="false">IF($H40&lt;&gt;"",$C40,0)</f>
        <v>0</v>
      </c>
    </row>
    <row r="41" customFormat="false" ht="13.5" hidden="false" customHeight="true" outlineLevel="0" collapsed="false">
      <c r="A41" s="67" t="s">
        <v>71</v>
      </c>
      <c r="B41" s="96" t="str">
        <f aca="false">COUNTA(A5:A40)&amp;" teste"</f>
        <v>26 teste</v>
      </c>
      <c r="C41" s="97" t="n">
        <f aca="false">SUM(C5:C40)-I31</f>
        <v>504</v>
      </c>
      <c r="D41" s="71"/>
      <c r="E41" s="71"/>
      <c r="F41" s="71"/>
      <c r="H41" s="98" t="str">
        <f aca="false">COUNTA(H5:H40)&amp;" ass."</f>
        <v>5 ass.</v>
      </c>
      <c r="I41" s="99" t="n">
        <f aca="false">SUM(I5:I40)</f>
        <v>140</v>
      </c>
    </row>
    <row r="42" customFormat="false" ht="13.5" hidden="false" customHeight="true" outlineLevel="0" collapsed="false"/>
    <row r="43" customFormat="false" ht="13.5" hidden="false" customHeight="true" outlineLevel="0" collapsed="false">
      <c r="A43" s="100" t="s">
        <v>130</v>
      </c>
      <c r="B43" s="101" t="n">
        <f aca="false">OreRichieste!I17</f>
        <v>553.766093084728</v>
      </c>
    </row>
    <row r="44" customFormat="false" ht="13.5" hidden="false" customHeight="true" outlineLevel="0" collapsed="false">
      <c r="A44" s="100" t="s">
        <v>131</v>
      </c>
      <c r="B44" s="102" t="n">
        <f aca="false">C41-B43</f>
        <v>-49.7660930847276</v>
      </c>
    </row>
    <row r="45" customFormat="false" ht="15" hidden="false" customHeight="true" outlineLevel="0" collapsed="false">
      <c r="A45" s="100" t="s">
        <v>132</v>
      </c>
      <c r="B45" s="103" t="str">
        <f aca="false">IF(B44&gt;=0,"OK","KO: organico insufficiente")</f>
        <v>KO: organico insufficiente</v>
      </c>
    </row>
    <row r="46" customFormat="false" ht="13.5" hidden="false" customHeight="true" outlineLevel="0" collapsed="false"/>
    <row r="47" customFormat="false" ht="15" hidden="false" customHeight="true" outlineLevel="0" collapsed="false">
      <c r="A47" s="38" t="s">
        <v>133</v>
      </c>
    </row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  <row r="1001" customFormat="false" ht="13.5" hidden="false" customHeight="true" outlineLevel="0" collapsed="false"/>
    <row r="1002" customFormat="false" ht="13.5" hidden="false" customHeight="true" outlineLevel="0" collapsed="false"/>
    <row r="1003" customFormat="false" ht="13.5" hidden="false" customHeight="true" outlineLevel="0" collapsed="false"/>
    <row r="1004" customFormat="false" ht="13.5" hidden="false" customHeight="true" outlineLevel="0" collapsed="false"/>
    <row r="1005" customFormat="false" ht="13.5" hidden="false" customHeight="true" outlineLevel="0" collapsed="false"/>
    <row r="1006" customFormat="false" ht="13.5" hidden="false" customHeight="true" outlineLevel="0" collapsed="false"/>
    <row r="1007" customFormat="false" ht="13.5" hidden="false" customHeight="true" outlineLevel="0" collapsed="false"/>
    <row r="1008" customFormat="false" ht="13.5" hidden="false" customHeight="true" outlineLevel="0" collapsed="false"/>
    <row r="1009" customFormat="false" ht="13.5" hidden="false" customHeight="true" outlineLevel="0" collapsed="false"/>
    <row r="1010" customFormat="false" ht="13.5" hidden="false" customHeight="true" outlineLevel="0" collapsed="false"/>
    <row r="1011" customFormat="false" ht="13.5" hidden="false" customHeight="true" outlineLevel="0" collapsed="false"/>
    <row r="1012" customFormat="false" ht="13.5" hidden="false" customHeight="true" outlineLevel="0" collapsed="false"/>
    <row r="1013" customFormat="false" ht="13.5" hidden="false" customHeight="true" outlineLevel="0" collapsed="false"/>
    <row r="1014" customFormat="false" ht="13.5" hidden="false" customHeight="true" outlineLevel="0" collapsed="false"/>
    <row r="1015" customFormat="false" ht="13.5" hidden="false" customHeight="true" outlineLevel="0" collapsed="false"/>
    <row r="1016" customFormat="false" ht="13.5" hidden="false" customHeight="true" outlineLevel="0" collapsed="false"/>
    <row r="1017" customFormat="false" ht="13.5" hidden="false" customHeight="true" outlineLevel="0" collapsed="false"/>
    <row r="1018" customFormat="false" ht="13.5" hidden="false" customHeight="true" outlineLevel="0" collapsed="false"/>
    <row r="1019" customFormat="false" ht="13.5" hidden="false" customHeight="true" outlineLevel="0" collapsed="false"/>
    <row r="1020" customFormat="false" ht="13.5" hidden="false" customHeight="true" outlineLevel="0" collapsed="false"/>
    <row r="1021" customFormat="false" ht="13.5" hidden="false" customHeight="true" outlineLevel="0" collapsed="false"/>
    <row r="1022" customFormat="false" ht="13.5" hidden="false" customHeight="true" outlineLevel="0" collapsed="false"/>
    <row r="1023" customFormat="false" ht="13.5" hidden="false" customHeight="true" outlineLevel="0" collapsed="false"/>
    <row r="1024" customFormat="false" ht="13.5" hidden="false" customHeight="true" outlineLevel="0" collapsed="false"/>
    <row r="1025" customFormat="false" ht="13.5" hidden="false" customHeight="true" outlineLevel="0" collapsed="false"/>
    <row r="1026" customFormat="false" ht="13.5" hidden="false" customHeight="true" outlineLevel="0" collapsed="false"/>
    <row r="1027" customFormat="false" ht="13.5" hidden="false" customHeight="true" outlineLevel="0" collapsed="false"/>
    <row r="1028" customFormat="false" ht="13.5" hidden="false" customHeight="true" outlineLevel="0" collapsed="false"/>
    <row r="1029" customFormat="false" ht="13.5" hidden="false" customHeight="true" outlineLevel="0" collapsed="false"/>
    <row r="1030" customFormat="false" ht="13.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A1:F1"/>
  </mergeCells>
  <conditionalFormatting sqref="A5:A40">
    <cfRule type="expression" priority="2" aboveAverage="0" equalAverage="0" bottom="0" percent="0" rank="0" text="" dxfId="5">
      <formula>$H5="F"</formula>
    </cfRule>
    <cfRule type="expression" priority="3" aboveAverage="0" equalAverage="0" bottom="0" percent="0" rank="0" text="" dxfId="6">
      <formula>$H5="M"</formula>
    </cfRule>
  </conditionalFormatting>
  <conditionalFormatting sqref="B45">
    <cfRule type="expression" priority="4" aboveAverage="0" equalAverage="0" bottom="0" percent="0" rank="0" text="" dxfId="4">
      <formula>OR(ISNUMBER(SEARCH("IN LINEA",B35)),ISNUMBER(SEARCH("OK",B35)))</formula>
    </cfRule>
    <cfRule type="expression" priority="5" aboveAverage="0" equalAverage="0" bottom="0" percent="0" rank="0" text="" dxfId="4">
      <formula>ISNUMBER(SEARCH("SOTTO",B35))</formula>
    </cfRule>
    <cfRule type="expression" priority="6" aboveAverage="0" equalAverage="0" bottom="0" percent="0" rank="0" text="" dxfId="4">
      <formula>OR(ISNUMBER(SEARCH("SOPRA",B35)),ISNUMBER(SEARCH("OLTRE",B35)),ISNUMBER(SEARCH("KO",B35)),ISNUMBER(SEARCH("NO RESP",B35)),ISNUMBER(SEARCH("ANOMAL",B35)))</formula>
    </cfRule>
  </conditionalFormatting>
  <dataValidations count="1">
    <dataValidation allowBlank="true" errorStyle="stop" operator="between" prompt="F = ferie (pianificata), M = malattia (last-minute). Vuoto = presente." promptTitle="Assenza settimana" showDropDown="false" showErrorMessage="false" showInputMessage="false" sqref="H5:H40" type="list">
      <formula1>"F,M"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800"/>
    <pageSetUpPr fitToPage="true"/>
  </sheetPr>
  <dimension ref="A1:AD104857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4" topLeftCell="L5" activePane="bottomRight" state="frozen"/>
      <selection pane="topLeft" activeCell="A1" activeCellId="0" sqref="A1"/>
      <selection pane="topRight" activeCell="L1" activeCellId="0" sqref="L1"/>
      <selection pane="bottomLeft" activeCell="A5" activeCellId="0" sqref="A5"/>
      <selection pane="bottomRight" activeCell="C34" activeCellId="0" sqref="C34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4.13"/>
    <col collapsed="false" customWidth="true" hidden="false" outlineLevel="0" max="2" min="2" style="1" width="9"/>
    <col collapsed="false" customWidth="true" hidden="false" outlineLevel="0" max="5" min="3" style="1" width="6.52"/>
    <col collapsed="false" customWidth="true" hidden="false" outlineLevel="0" max="7" min="6" style="1" width="6.2"/>
    <col collapsed="false" customWidth="true" hidden="false" outlineLevel="0" max="8" min="8" style="1" width="8.67"/>
    <col collapsed="false" customWidth="true" hidden="false" outlineLevel="0" max="26" min="9" style="1" width="6.2"/>
    <col collapsed="false" customWidth="false" hidden="false" outlineLevel="0" max="30" min="27" style="1" width="8.53"/>
    <col collapsed="false" customWidth="true" hidden="false" outlineLevel="0" max="1025" min="31" style="1" width="8.67"/>
  </cols>
  <sheetData>
    <row r="1" customFormat="false" ht="25.5" hidden="false" customHeight="true" outlineLevel="0" collapsed="false">
      <c r="A1" s="82" t="s">
        <v>134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</row>
    <row r="2" customFormat="false" ht="15" hidden="false" customHeight="true" outlineLevel="0" collapsed="false">
      <c r="A2" s="38" t="s">
        <v>135</v>
      </c>
    </row>
    <row r="3" customFormat="false" ht="15" hidden="false" customHeight="true" outlineLevel="0" collapsed="false">
      <c r="F3" s="104" t="s">
        <v>8</v>
      </c>
      <c r="G3" s="104"/>
      <c r="H3" s="104"/>
      <c r="I3" s="104" t="s">
        <v>9</v>
      </c>
      <c r="J3" s="104"/>
      <c r="K3" s="104"/>
      <c r="L3" s="104" t="s">
        <v>10</v>
      </c>
      <c r="M3" s="104"/>
      <c r="N3" s="104"/>
      <c r="O3" s="104" t="s">
        <v>11</v>
      </c>
      <c r="P3" s="104"/>
      <c r="Q3" s="104"/>
      <c r="R3" s="104" t="s">
        <v>12</v>
      </c>
      <c r="S3" s="104"/>
      <c r="T3" s="104"/>
      <c r="U3" s="104" t="s">
        <v>13</v>
      </c>
      <c r="V3" s="104"/>
      <c r="W3" s="104"/>
      <c r="X3" s="104" t="s">
        <v>14</v>
      </c>
      <c r="Y3" s="104"/>
      <c r="Z3" s="104"/>
    </row>
    <row r="4" customFormat="false" ht="15" hidden="false" customHeight="true" outlineLevel="0" collapsed="false">
      <c r="A4" s="48" t="s">
        <v>92</v>
      </c>
      <c r="B4" s="48" t="s">
        <v>93</v>
      </c>
      <c r="C4" s="48" t="s">
        <v>136</v>
      </c>
      <c r="D4" s="48" t="s">
        <v>137</v>
      </c>
      <c r="E4" s="48" t="s">
        <v>138</v>
      </c>
      <c r="F4" s="48" t="s">
        <v>139</v>
      </c>
      <c r="G4" s="48" t="s">
        <v>140</v>
      </c>
      <c r="H4" s="48" t="s">
        <v>141</v>
      </c>
      <c r="I4" s="48" t="s">
        <v>139</v>
      </c>
      <c r="J4" s="48" t="s">
        <v>140</v>
      </c>
      <c r="K4" s="48" t="s">
        <v>141</v>
      </c>
      <c r="L4" s="48" t="s">
        <v>139</v>
      </c>
      <c r="M4" s="48" t="s">
        <v>140</v>
      </c>
      <c r="N4" s="48" t="s">
        <v>141</v>
      </c>
      <c r="O4" s="48" t="s">
        <v>139</v>
      </c>
      <c r="P4" s="48" t="s">
        <v>140</v>
      </c>
      <c r="Q4" s="48" t="s">
        <v>141</v>
      </c>
      <c r="R4" s="48" t="s">
        <v>139</v>
      </c>
      <c r="S4" s="48" t="s">
        <v>140</v>
      </c>
      <c r="T4" s="48" t="s">
        <v>141</v>
      </c>
      <c r="U4" s="48" t="s">
        <v>139</v>
      </c>
      <c r="V4" s="48" t="s">
        <v>140</v>
      </c>
      <c r="W4" s="48" t="s">
        <v>141</v>
      </c>
      <c r="X4" s="48" t="s">
        <v>139</v>
      </c>
      <c r="Y4" s="48" t="s">
        <v>140</v>
      </c>
      <c r="Z4" s="48" t="s">
        <v>141</v>
      </c>
      <c r="AA4" s="48" t="s">
        <v>142</v>
      </c>
      <c r="AB4" s="48" t="s">
        <v>143</v>
      </c>
      <c r="AC4" s="48" t="s">
        <v>137</v>
      </c>
      <c r="AD4" s="48" t="s">
        <v>144</v>
      </c>
    </row>
    <row r="5" customFormat="false" ht="15" hidden="false" customHeight="true" outlineLevel="0" collapsed="false">
      <c r="A5" s="105" t="str">
        <f aca="false" t="array" ref="A5:A5">IFERROR(INDEX(Personale!$A$5:$A$40,SMALL(IF(Personale!$H$5:$H$40="",ROW(Personale!$A$5:$A$40)-ROW(Personale!$A$5)+1),1)),"")</f>
        <v>DE PICCOLI</v>
      </c>
      <c r="B5" s="106" t="str">
        <f aca="false">IFERROR(VLOOKUP($A5,Personale!$A$5:$E$40,2,0),"")</f>
        <v>RESP</v>
      </c>
      <c r="C5" s="107" t="n">
        <f aca="false">IFERROR(VLOOKUP($A5,Personale!$A$5:$E$40,3,0),0)</f>
        <v>38</v>
      </c>
      <c r="D5" s="107" t="n">
        <f aca="false">IFERROR(VLOOKUP($A5,Personale!$A$5:$E$40,4,0),0)</f>
        <v>6</v>
      </c>
      <c r="E5" s="108" t="n">
        <f aca="false">IFERROR(VLOOKUP($A5,Personale!$A$5:$E$40,5,0),0)</f>
        <v>6.33333333333333</v>
      </c>
      <c r="F5" s="109" t="n">
        <v>0.583333333333333</v>
      </c>
      <c r="G5" s="109" t="n">
        <v>0.833333333333333</v>
      </c>
      <c r="H5" s="110" t="n">
        <f aca="false">IF(AND(ISNUMBER(F5),ISNUMBER(G5)),(G5-F5)*24,0)</f>
        <v>6</v>
      </c>
      <c r="I5" s="109" t="s">
        <v>145</v>
      </c>
      <c r="J5" s="109" t="s">
        <v>145</v>
      </c>
      <c r="K5" s="110" t="n">
        <f aca="false">IF(AND(ISNUMBER(I5),ISNUMBER(J5)),(J5-I5)*24,0)</f>
        <v>0</v>
      </c>
      <c r="L5" s="109" t="n">
        <v>0.458333333333333</v>
      </c>
      <c r="M5" s="109" t="n">
        <v>0.729166666666667</v>
      </c>
      <c r="N5" s="110" t="n">
        <f aca="false">IF(AND(ISNUMBER(L5),ISNUMBER(M5)),(M5-L5)*24,0)</f>
        <v>6.5</v>
      </c>
      <c r="O5" s="109" t="n">
        <v>0.614583333333333</v>
      </c>
      <c r="P5" s="109" t="n">
        <v>0.885416666666667</v>
      </c>
      <c r="Q5" s="110" t="n">
        <f aca="false">IF(AND(ISNUMBER(O5),ISNUMBER(P5)),(P5-O5)*24,0)</f>
        <v>6.5</v>
      </c>
      <c r="R5" s="109" t="n">
        <v>0.520833333333333</v>
      </c>
      <c r="S5" s="109" t="n">
        <v>0.833333333333333</v>
      </c>
      <c r="T5" s="110" t="n">
        <f aca="false">IF(AND(ISNUMBER(R5),ISNUMBER(S5)),(S5-R5)*24,0)</f>
        <v>7.5</v>
      </c>
      <c r="U5" s="109" t="n">
        <v>0.333333333333333</v>
      </c>
      <c r="V5" s="109" t="n">
        <v>0.583333333333333</v>
      </c>
      <c r="W5" s="110" t="n">
        <f aca="false">IF(AND(ISNUMBER(U5),ISNUMBER(V5)),(V5-U5)*24,0)</f>
        <v>6</v>
      </c>
      <c r="X5" s="109" t="n">
        <v>0.333333333333333</v>
      </c>
      <c r="Y5" s="109" t="n">
        <v>0.645833333333333</v>
      </c>
      <c r="Z5" s="110" t="n">
        <f aca="false">IF(AND(ISNUMBER(X5),ISNUMBER(Y5)),(Y5-X5)*24,0)</f>
        <v>7.5</v>
      </c>
      <c r="AA5" s="111" t="n">
        <f aca="false">H5+K5+N5+Q5+T5+W5+Z5</f>
        <v>40</v>
      </c>
      <c r="AB5" s="112" t="n">
        <f aca="false">AA5-C5</f>
        <v>2</v>
      </c>
      <c r="AC5" s="113" t="n">
        <f aca="false">(H5&gt;0)+(K5&gt;0)+(N5&gt;0)+(Q5&gt;0)+(T5&gt;0)+(W5&gt;0)+(Z5&gt;0)</f>
        <v>6</v>
      </c>
      <c r="AD5" s="103" t="str">
        <f aca="false">IF(OR(IF(ISNUMBER(G5)*ISNUMBER(I5),(I5+1-G5)*24&lt;Parametri!$B$65),IF(ISNUMBER(J5)*ISNUMBER(L5),(L5+1-J5)*24&lt;Parametri!$B$65),IF(ISNUMBER(M5)*ISNUMBER(O5),(O5+1-M5)*24&lt;Parametri!$B$65),IF(ISNUMBER(P5)*ISNUMBER(R5),(R5+1-P5)*24&lt;Parametri!$B$65),IF(ISNUMBER(S5)*ISNUMBER(U5),(U5+1-S5)*24&lt;Parametri!$B$65),IF(ISNUMBER(V5)*ISNUMBER(X5),(X5+1-V5)*24&lt;Parametri!$B$65),IF(ISNUMBER(Y5)*ISNUMBER(F5),(F5+1-Y5)*24&lt;Parametri!$B$65)),"KO","OK")</f>
        <v>OK</v>
      </c>
    </row>
    <row r="6" customFormat="false" ht="15" hidden="false" customHeight="true" outlineLevel="0" collapsed="false">
      <c r="A6" s="114" t="str">
        <f aca="false" t="array" ref="A6:A6">IFERROR(INDEX(Personale!$A$5:$A$40,SMALL(IF(Personale!$H$5:$H$40="",ROW(Personale!$A$5:$A$40)-ROW(Personale!$A$5)+1),2)),"")</f>
        <v>DA PARE’</v>
      </c>
      <c r="B6" s="115" t="str">
        <f aca="false">IFERROR(VLOOKUP($A6,Personale!$A$5:$E$40,2,0),"")</f>
        <v>RESP</v>
      </c>
      <c r="C6" s="116" t="n">
        <f aca="false">IFERROR(VLOOKUP($A6,Personale!$A$5:$E$40,3,0),0)</f>
        <v>25</v>
      </c>
      <c r="D6" s="116" t="n">
        <f aca="false">IFERROR(VLOOKUP($A6,Personale!$A$5:$E$40,4,0),0)</f>
        <v>6</v>
      </c>
      <c r="E6" s="117" t="n">
        <f aca="false">IFERROR(VLOOKUP($A6,Personale!$A$5:$E$40,5,0),0)</f>
        <v>4.16666666666667</v>
      </c>
      <c r="F6" s="109" t="n">
        <v>0.697916666666667</v>
      </c>
      <c r="G6" s="109" t="n">
        <v>0.885416666666667</v>
      </c>
      <c r="H6" s="110" t="n">
        <f aca="false">IF(AND(ISNUMBER(F6),ISNUMBER(G6)),(G6-F6)*24,0)</f>
        <v>4.5</v>
      </c>
      <c r="I6" s="109" t="n">
        <v>0.635416666666667</v>
      </c>
      <c r="J6" s="109" t="n">
        <v>0.885416666666667</v>
      </c>
      <c r="K6" s="110" t="n">
        <f aca="false">IF(AND(ISNUMBER(I6),ISNUMBER(J6)),(J6-I6)*24,0)</f>
        <v>6</v>
      </c>
      <c r="L6" s="109" t="n">
        <v>0.71875</v>
      </c>
      <c r="M6" s="109" t="n">
        <v>0.885416666666667</v>
      </c>
      <c r="N6" s="110" t="n">
        <f aca="false">IF(AND(ISNUMBER(L6),ISNUMBER(M6)),(M6-L6)*24,0)</f>
        <v>4</v>
      </c>
      <c r="O6" s="109" t="n">
        <v>0.71875</v>
      </c>
      <c r="P6" s="109" t="n">
        <v>0.885416666666667</v>
      </c>
      <c r="Q6" s="110" t="n">
        <f aca="false">IF(AND(ISNUMBER(O6),ISNUMBER(P6)),(P6-O6)*24,0)</f>
        <v>4</v>
      </c>
      <c r="R6" s="109" t="n">
        <v>0.677083333333333</v>
      </c>
      <c r="S6" s="109" t="n">
        <v>0.885416666666667</v>
      </c>
      <c r="T6" s="110" t="n">
        <f aca="false">IF(AND(ISNUMBER(R6),ISNUMBER(S6)),(S6-R6)*24,0)</f>
        <v>5</v>
      </c>
      <c r="U6" s="109" t="n">
        <v>0.71875</v>
      </c>
      <c r="V6" s="109" t="n">
        <v>0.885416666666667</v>
      </c>
      <c r="W6" s="110" t="n">
        <f aca="false">IF(AND(ISNUMBER(U6),ISNUMBER(V6)),(V6-U6)*24,0)</f>
        <v>4</v>
      </c>
      <c r="X6" s="109" t="s">
        <v>145</v>
      </c>
      <c r="Y6" s="109" t="s">
        <v>145</v>
      </c>
      <c r="Z6" s="110" t="n">
        <f aca="false">IF(AND(ISNUMBER(X6),ISNUMBER(Y6)),(Y6-X6)*24,0)</f>
        <v>0</v>
      </c>
      <c r="AA6" s="118" t="n">
        <f aca="false">H6+K6+N6+Q6+T6+W6+Z6</f>
        <v>27.5</v>
      </c>
      <c r="AB6" s="119" t="n">
        <f aca="false">AA6-C6</f>
        <v>2.5</v>
      </c>
      <c r="AC6" s="120" t="n">
        <f aca="false">(H6&gt;0)+(K6&gt;0)+(N6&gt;0)+(Q6&gt;0)+(T6&gt;0)+(W6&gt;0)+(Z6&gt;0)</f>
        <v>6</v>
      </c>
      <c r="AD6" s="57" t="str">
        <f aca="false">IF(OR(IF(ISNUMBER(G6)*ISNUMBER(I6),(I6+1-G6)*24&lt;Parametri!$B$65),IF(ISNUMBER(J6)*ISNUMBER(L6),(L6+1-J6)*24&lt;Parametri!$B$65),IF(ISNUMBER(M6)*ISNUMBER(O6),(O6+1-M6)*24&lt;Parametri!$B$65),IF(ISNUMBER(P6)*ISNUMBER(R6),(R6+1-P6)*24&lt;Parametri!$B$65),IF(ISNUMBER(S6)*ISNUMBER(U6),(U6+1-S6)*24&lt;Parametri!$B$65),IF(ISNUMBER(V6)*ISNUMBER(X6),(X6+1-V6)*24&lt;Parametri!$B$65),IF(ISNUMBER(Y6)*ISNUMBER(F6),(F6+1-Y6)*24&lt;Parametri!$B$65)),"KO","OK")</f>
        <v>OK</v>
      </c>
    </row>
    <row r="7" customFormat="false" ht="15" hidden="false" customHeight="true" outlineLevel="0" collapsed="false">
      <c r="A7" s="105" t="str">
        <f aca="false" t="array" ref="A7:A7">IFERROR(INDEX(Personale!$A$5:$A$40,SMALL(IF(Personale!$H$5:$H$40="",ROW(Personale!$A$5:$A$40)-ROW(Personale!$A$5)+1),3)),"")</f>
        <v>DE PELLEGRIN</v>
      </c>
      <c r="B7" s="106" t="str">
        <f aca="false">IFERROR(VLOOKUP($A7,Personale!$A$5:$E$40,2,0),"")</f>
        <v>RESP</v>
      </c>
      <c r="C7" s="107" t="n">
        <f aca="false">IFERROR(VLOOKUP($A7,Personale!$A$5:$E$40,3,0),0)</f>
        <v>25</v>
      </c>
      <c r="D7" s="107" t="n">
        <f aca="false">IFERROR(VLOOKUP($A7,Personale!$A$5:$E$40,4,0),0)</f>
        <v>5</v>
      </c>
      <c r="E7" s="108" t="n">
        <f aca="false">IFERROR(VLOOKUP($A7,Personale!$A$5:$E$40,5,0),0)</f>
        <v>5</v>
      </c>
      <c r="F7" s="109" t="n">
        <v>0.229166666666667</v>
      </c>
      <c r="G7" s="109" t="n">
        <v>0.4375</v>
      </c>
      <c r="H7" s="110" t="n">
        <f aca="false">IF(AND(ISNUMBER(F7),ISNUMBER(G7)),(G7-F7)*24,0)</f>
        <v>5</v>
      </c>
      <c r="I7" s="109" t="n">
        <v>0.25</v>
      </c>
      <c r="J7" s="109" t="n">
        <v>0.479166666666667</v>
      </c>
      <c r="K7" s="110" t="n">
        <f aca="false">IF(AND(ISNUMBER(I7),ISNUMBER(J7)),(J7-I7)*24,0)</f>
        <v>5.5</v>
      </c>
      <c r="L7" s="109" t="s">
        <v>145</v>
      </c>
      <c r="M7" s="109" t="s">
        <v>145</v>
      </c>
      <c r="N7" s="110" t="n">
        <f aca="false">IF(AND(ISNUMBER(L7),ISNUMBER(M7)),(M7-L7)*24,0)</f>
        <v>0</v>
      </c>
      <c r="O7" s="109" t="n">
        <v>0.229166666666667</v>
      </c>
      <c r="P7" s="109" t="n">
        <v>0.458333333333333</v>
      </c>
      <c r="Q7" s="110" t="n">
        <f aca="false">IF(AND(ISNUMBER(O7),ISNUMBER(P7)),(P7-O7)*24,0)</f>
        <v>5.5</v>
      </c>
      <c r="R7" s="109" t="n">
        <v>0.25</v>
      </c>
      <c r="S7" s="109" t="n">
        <v>0.520833333333333</v>
      </c>
      <c r="T7" s="110" t="n">
        <f aca="false">IF(AND(ISNUMBER(R7),ISNUMBER(S7)),(S7-R7)*24,0)</f>
        <v>6.5</v>
      </c>
      <c r="U7" s="109" t="n">
        <v>0.229166666666667</v>
      </c>
      <c r="V7" s="109" t="n">
        <v>0.4375</v>
      </c>
      <c r="W7" s="110" t="n">
        <f aca="false">IF(AND(ISNUMBER(U7),ISNUMBER(V7)),(V7-U7)*24,0)</f>
        <v>5</v>
      </c>
      <c r="X7" s="109" t="s">
        <v>145</v>
      </c>
      <c r="Y7" s="109" t="s">
        <v>145</v>
      </c>
      <c r="Z7" s="110" t="n">
        <f aca="false">IF(AND(ISNUMBER(X7),ISNUMBER(Y7)),(Y7-X7)*24,0)</f>
        <v>0</v>
      </c>
      <c r="AA7" s="111" t="n">
        <f aca="false">H7+K7+N7+Q7+T7+W7+Z7</f>
        <v>27.5</v>
      </c>
      <c r="AB7" s="112" t="n">
        <f aca="false">AA7-C7</f>
        <v>2.5</v>
      </c>
      <c r="AC7" s="113" t="n">
        <f aca="false">(H7&gt;0)+(K7&gt;0)+(N7&gt;0)+(Q7&gt;0)+(T7&gt;0)+(W7&gt;0)+(Z7&gt;0)</f>
        <v>5</v>
      </c>
      <c r="AD7" s="103" t="str">
        <f aca="false">IF(OR(IF(ISNUMBER(G7)*ISNUMBER(I7),(I7+1-G7)*24&lt;Parametri!$B$65),IF(ISNUMBER(J7)*ISNUMBER(L7),(L7+1-J7)*24&lt;Parametri!$B$65),IF(ISNUMBER(M7)*ISNUMBER(O7),(O7+1-M7)*24&lt;Parametri!$B$65),IF(ISNUMBER(P7)*ISNUMBER(R7),(R7+1-P7)*24&lt;Parametri!$B$65),IF(ISNUMBER(S7)*ISNUMBER(U7),(U7+1-S7)*24&lt;Parametri!$B$65),IF(ISNUMBER(V7)*ISNUMBER(X7),(X7+1-V7)*24&lt;Parametri!$B$65),IF(ISNUMBER(Y7)*ISNUMBER(F7),(F7+1-Y7)*24&lt;Parametri!$B$65)),"KO","OK")</f>
        <v>OK</v>
      </c>
    </row>
    <row r="8" customFormat="false" ht="15" hidden="false" customHeight="true" outlineLevel="0" collapsed="false">
      <c r="A8" s="114" t="str">
        <f aca="false" t="array" ref="A8:A8">IFERROR(INDEX(Personale!$A$5:$A$40,SMALL(IF(Personale!$H$5:$H$40="",ROW(Personale!$A$5:$A$40)-ROW(Personale!$A$5)+1),4)),"")</f>
        <v>DUBON</v>
      </c>
      <c r="B8" s="115" t="str">
        <f aca="false">IFERROR(VLOOKUP($A8,Personale!$A$5:$E$40,2,0),"")</f>
        <v>RESP</v>
      </c>
      <c r="C8" s="116" t="n">
        <f aca="false">IFERROR(VLOOKUP($A8,Personale!$A$5:$E$40,3,0),0)</f>
        <v>25</v>
      </c>
      <c r="D8" s="116" t="n">
        <f aca="false">IFERROR(VLOOKUP($A8,Personale!$A$5:$E$40,4,0),0)</f>
        <v>5</v>
      </c>
      <c r="E8" s="117" t="n">
        <f aca="false">IFERROR(VLOOKUP($A8,Personale!$A$5:$E$40,5,0),0)</f>
        <v>5</v>
      </c>
      <c r="F8" s="109" t="n">
        <v>0.479166666666667</v>
      </c>
      <c r="G8" s="109" t="n">
        <v>0.6875</v>
      </c>
      <c r="H8" s="110" t="n">
        <f aca="false">IF(AND(ISNUMBER(F8),ISNUMBER(G8)),(G8-F8)*24,0)</f>
        <v>5</v>
      </c>
      <c r="I8" s="109" t="s">
        <v>145</v>
      </c>
      <c r="J8" s="109" t="s">
        <v>145</v>
      </c>
      <c r="K8" s="110" t="n">
        <f aca="false">IF(AND(ISNUMBER(I8),ISNUMBER(J8)),(J8-I8)*24,0)</f>
        <v>0</v>
      </c>
      <c r="L8" s="109" t="s">
        <v>145</v>
      </c>
      <c r="M8" s="109" t="s">
        <v>145</v>
      </c>
      <c r="N8" s="110" t="n">
        <f aca="false">IF(AND(ISNUMBER(L8),ISNUMBER(M8)),(M8-L8)*24,0)</f>
        <v>0</v>
      </c>
      <c r="O8" s="109" t="n">
        <v>0.416666666666667</v>
      </c>
      <c r="P8" s="109" t="n">
        <v>0.625</v>
      </c>
      <c r="Q8" s="110" t="n">
        <f aca="false">IF(AND(ISNUMBER(O8),ISNUMBER(P8)),(P8-O8)*24,0)</f>
        <v>5</v>
      </c>
      <c r="R8" s="109" t="n">
        <v>0.25</v>
      </c>
      <c r="S8" s="109" t="n">
        <v>0.479166666666667</v>
      </c>
      <c r="T8" s="110" t="n">
        <f aca="false">IF(AND(ISNUMBER(R8),ISNUMBER(S8)),(S8-R8)*24,0)</f>
        <v>5.5</v>
      </c>
      <c r="U8" s="109" t="n">
        <v>0.677083333333333</v>
      </c>
      <c r="V8" s="109" t="n">
        <v>0.885416666666667</v>
      </c>
      <c r="W8" s="110" t="n">
        <f aca="false">IF(AND(ISNUMBER(U8),ISNUMBER(V8)),(V8-U8)*24,0)</f>
        <v>5</v>
      </c>
      <c r="X8" s="109" t="n">
        <v>0.59375</v>
      </c>
      <c r="Y8" s="109" t="n">
        <v>0.885416666666667</v>
      </c>
      <c r="Z8" s="110" t="n">
        <f aca="false">IF(AND(ISNUMBER(X8),ISNUMBER(Y8)),(Y8-X8)*24,0)</f>
        <v>7</v>
      </c>
      <c r="AA8" s="118" t="n">
        <f aca="false">H8+K8+N8+Q8+T8+W8+Z8</f>
        <v>27.5</v>
      </c>
      <c r="AB8" s="119" t="n">
        <f aca="false">AA8-C8</f>
        <v>2.5</v>
      </c>
      <c r="AC8" s="120" t="n">
        <f aca="false">(H8&gt;0)+(K8&gt;0)+(N8&gt;0)+(Q8&gt;0)+(T8&gt;0)+(W8&gt;0)+(Z8&gt;0)</f>
        <v>5</v>
      </c>
      <c r="AD8" s="57" t="str">
        <f aca="false">IF(OR(IF(ISNUMBER(G8)*ISNUMBER(I8),(I8+1-G8)*24&lt;Parametri!$B$65),IF(ISNUMBER(J8)*ISNUMBER(L8),(L8+1-J8)*24&lt;Parametri!$B$65),IF(ISNUMBER(M8)*ISNUMBER(O8),(O8+1-M8)*24&lt;Parametri!$B$65),IF(ISNUMBER(P8)*ISNUMBER(R8),(R8+1-P8)*24&lt;Parametri!$B$65),IF(ISNUMBER(S8)*ISNUMBER(U8),(U8+1-S8)*24&lt;Parametri!$B$65),IF(ISNUMBER(V8)*ISNUMBER(X8),(X8+1-V8)*24&lt;Parametri!$B$65),IF(ISNUMBER(Y8)*ISNUMBER(F8),(F8+1-Y8)*24&lt;Parametri!$B$65)),"KO","OK")</f>
        <v>OK</v>
      </c>
    </row>
    <row r="9" customFormat="false" ht="15" hidden="false" customHeight="true" outlineLevel="0" collapsed="false">
      <c r="A9" s="105" t="str">
        <f aca="false" t="array" ref="A9:A9">IFERROR(INDEX(Personale!$A$5:$A$40,SMALL(IF(Personale!$H$5:$H$40="",ROW(Personale!$A$5:$A$40)-ROW(Personale!$A$5)+1),5)),"")</f>
        <v>MUNERATI</v>
      </c>
      <c r="B9" s="106" t="str">
        <f aca="false">IFERROR(VLOOKUP($A9,Personale!$A$5:$E$40,2,0),"")</f>
        <v>RESP</v>
      </c>
      <c r="C9" s="107" t="n">
        <f aca="false">IFERROR(VLOOKUP($A9,Personale!$A$5:$E$40,3,0),0)</f>
        <v>25</v>
      </c>
      <c r="D9" s="107" t="n">
        <f aca="false">IFERROR(VLOOKUP($A9,Personale!$A$5:$E$40,4,0),0)</f>
        <v>5</v>
      </c>
      <c r="E9" s="108" t="n">
        <f aca="false">IFERROR(VLOOKUP($A9,Personale!$A$5:$E$40,5,0),0)</f>
        <v>5</v>
      </c>
      <c r="F9" s="109" t="n">
        <v>0.229166666666667</v>
      </c>
      <c r="G9" s="109" t="n">
        <v>0.4375</v>
      </c>
      <c r="H9" s="110" t="n">
        <f aca="false">IF(AND(ISNUMBER(F9),ISNUMBER(G9)),(G9-F9)*24,0)</f>
        <v>5</v>
      </c>
      <c r="I9" s="109" t="n">
        <v>0.479166666666667</v>
      </c>
      <c r="J9" s="109" t="n">
        <v>0.6875</v>
      </c>
      <c r="K9" s="110" t="n">
        <f aca="false">IF(AND(ISNUMBER(I9),ISNUMBER(J9)),(J9-I9)*24,0)</f>
        <v>5</v>
      </c>
      <c r="L9" s="109" t="n">
        <v>0.25</v>
      </c>
      <c r="M9" s="109" t="n">
        <v>0.479166666666667</v>
      </c>
      <c r="N9" s="110" t="n">
        <f aca="false">IF(AND(ISNUMBER(L9),ISNUMBER(M9)),(M9-L9)*24,0)</f>
        <v>5.5</v>
      </c>
      <c r="O9" s="109" t="n">
        <v>0.229166666666667</v>
      </c>
      <c r="P9" s="109" t="n">
        <v>0.5</v>
      </c>
      <c r="Q9" s="110" t="n">
        <f aca="false">IF(AND(ISNUMBER(O9),ISNUMBER(P9)),(P9-O9)*24,0)</f>
        <v>6.5</v>
      </c>
      <c r="R9" s="109" t="s">
        <v>145</v>
      </c>
      <c r="S9" s="109" t="s">
        <v>145</v>
      </c>
      <c r="T9" s="110" t="n">
        <f aca="false">IF(AND(ISNUMBER(R9),ISNUMBER(S9)),(S9-R9)*24,0)</f>
        <v>0</v>
      </c>
      <c r="U9" s="109" t="n">
        <v>0.229166666666667</v>
      </c>
      <c r="V9" s="109" t="n">
        <v>0.458333333333333</v>
      </c>
      <c r="W9" s="110" t="n">
        <f aca="false">IF(AND(ISNUMBER(U9),ISNUMBER(V9)),(V9-U9)*24,0)</f>
        <v>5.5</v>
      </c>
      <c r="X9" s="109" t="s">
        <v>145</v>
      </c>
      <c r="Y9" s="109" t="s">
        <v>145</v>
      </c>
      <c r="Z9" s="110" t="n">
        <f aca="false">IF(AND(ISNUMBER(X9),ISNUMBER(Y9)),(Y9-X9)*24,0)</f>
        <v>0</v>
      </c>
      <c r="AA9" s="111" t="n">
        <f aca="false">H9+K9+N9+Q9+T9+W9+Z9</f>
        <v>27.5</v>
      </c>
      <c r="AB9" s="112" t="n">
        <f aca="false">AA9-C9</f>
        <v>2.5</v>
      </c>
      <c r="AC9" s="113" t="n">
        <f aca="false">(H9&gt;0)+(K9&gt;0)+(N9&gt;0)+(Q9&gt;0)+(T9&gt;0)+(W9&gt;0)+(Z9&gt;0)</f>
        <v>5</v>
      </c>
      <c r="AD9" s="103" t="str">
        <f aca="false">IF(OR(IF(ISNUMBER(G9)*ISNUMBER(I9),(I9+1-G9)*24&lt;Parametri!$B$65),IF(ISNUMBER(J9)*ISNUMBER(L9),(L9+1-J9)*24&lt;Parametri!$B$65),IF(ISNUMBER(M9)*ISNUMBER(O9),(O9+1-M9)*24&lt;Parametri!$B$65),IF(ISNUMBER(P9)*ISNUMBER(R9),(R9+1-P9)*24&lt;Parametri!$B$65),IF(ISNUMBER(S9)*ISNUMBER(U9),(U9+1-S9)*24&lt;Parametri!$B$65),IF(ISNUMBER(V9)*ISNUMBER(X9),(X9+1-V9)*24&lt;Parametri!$B$65),IF(ISNUMBER(Y9)*ISNUMBER(F9),(F9+1-Y9)*24&lt;Parametri!$B$65)),"KO","OK")</f>
        <v>OK</v>
      </c>
    </row>
    <row r="10" customFormat="false" ht="15" hidden="false" customHeight="true" outlineLevel="0" collapsed="false">
      <c r="A10" s="114" t="str">
        <f aca="false" t="array" ref="A10:A10">IFERROR(INDEX(Personale!$A$5:$A$40,SMALL(IF(Personale!$H$5:$H$40="",ROW(Personale!$A$5:$A$40)-ROW(Personale!$A$5)+1),6)),"")</f>
        <v>SEGAT</v>
      </c>
      <c r="B10" s="115" t="str">
        <f aca="false">IFERROR(VLOOKUP($A10,Personale!$A$5:$E$40,2,0),"")</f>
        <v>RESP</v>
      </c>
      <c r="C10" s="116" t="n">
        <f aca="false">IFERROR(VLOOKUP($A10,Personale!$A$5:$E$40,3,0),0)</f>
        <v>25</v>
      </c>
      <c r="D10" s="116" t="n">
        <f aca="false">IFERROR(VLOOKUP($A10,Personale!$A$5:$E$40,4,0),0)</f>
        <v>5</v>
      </c>
      <c r="E10" s="117" t="n">
        <f aca="false">IFERROR(VLOOKUP($A10,Personale!$A$5:$E$40,5,0),0)</f>
        <v>5</v>
      </c>
      <c r="F10" s="109" t="n">
        <v>0.229166666666667</v>
      </c>
      <c r="G10" s="109" t="n">
        <v>0.479166666666667</v>
      </c>
      <c r="H10" s="110" t="n">
        <f aca="false">IF(AND(ISNUMBER(F10),ISNUMBER(G10)),(G10-F10)*24,0)</f>
        <v>6</v>
      </c>
      <c r="I10" s="109" t="s">
        <v>145</v>
      </c>
      <c r="J10" s="109" t="s">
        <v>145</v>
      </c>
      <c r="K10" s="110" t="n">
        <f aca="false">IF(AND(ISNUMBER(I10),ISNUMBER(J10)),(J10-I10)*24,0)</f>
        <v>0</v>
      </c>
      <c r="L10" s="109" t="s">
        <v>145</v>
      </c>
      <c r="M10" s="109" t="s">
        <v>145</v>
      </c>
      <c r="N10" s="110" t="n">
        <f aca="false">IF(AND(ISNUMBER(L10),ISNUMBER(M10)),(M10-L10)*24,0)</f>
        <v>0</v>
      </c>
      <c r="O10" s="109" t="n">
        <v>0.229166666666667</v>
      </c>
      <c r="P10" s="109" t="n">
        <v>0.458333333333333</v>
      </c>
      <c r="Q10" s="110" t="n">
        <f aca="false">IF(AND(ISNUMBER(O10),ISNUMBER(P10)),(P10-O10)*24,0)</f>
        <v>5.5</v>
      </c>
      <c r="R10" s="109" t="n">
        <v>0.479166666666667</v>
      </c>
      <c r="S10" s="109" t="n">
        <v>0.6875</v>
      </c>
      <c r="T10" s="110" t="n">
        <f aca="false">IF(AND(ISNUMBER(R10),ISNUMBER(S10)),(S10-R10)*24,0)</f>
        <v>5</v>
      </c>
      <c r="U10" s="109" t="n">
        <v>0.5</v>
      </c>
      <c r="V10" s="109" t="n">
        <v>0.708333333333333</v>
      </c>
      <c r="W10" s="110" t="n">
        <f aca="false">IF(AND(ISNUMBER(U10),ISNUMBER(V10)),(V10-U10)*24,0)</f>
        <v>5</v>
      </c>
      <c r="X10" s="109" t="n">
        <v>0.25</v>
      </c>
      <c r="Y10" s="109" t="n">
        <v>0.5</v>
      </c>
      <c r="Z10" s="110" t="n">
        <f aca="false">IF(AND(ISNUMBER(X10),ISNUMBER(Y10)),(Y10-X10)*24,0)</f>
        <v>6</v>
      </c>
      <c r="AA10" s="118" t="n">
        <f aca="false">H10+K10+N10+Q10+T10+W10+Z10</f>
        <v>27.5</v>
      </c>
      <c r="AB10" s="119" t="n">
        <f aca="false">AA10-C10</f>
        <v>2.5</v>
      </c>
      <c r="AC10" s="120" t="n">
        <f aca="false">(H10&gt;0)+(K10&gt;0)+(N10&gt;0)+(Q10&gt;0)+(T10&gt;0)+(W10&gt;0)+(Z10&gt;0)</f>
        <v>5</v>
      </c>
      <c r="AD10" s="57" t="str">
        <f aca="false">IF(OR(IF(ISNUMBER(G10)*ISNUMBER(I10),(I10+1-G10)*24&lt;Parametri!$B$65),IF(ISNUMBER(J10)*ISNUMBER(L10),(L10+1-J10)*24&lt;Parametri!$B$65),IF(ISNUMBER(M10)*ISNUMBER(O10),(O10+1-M10)*24&lt;Parametri!$B$65),IF(ISNUMBER(P10)*ISNUMBER(R10),(R10+1-P10)*24&lt;Parametri!$B$65),IF(ISNUMBER(S10)*ISNUMBER(U10),(U10+1-S10)*24&lt;Parametri!$B$65),IF(ISNUMBER(V10)*ISNUMBER(X10),(X10+1-V10)*24&lt;Parametri!$B$65),IF(ISNUMBER(Y10)*ISNUMBER(F10),(F10+1-Y10)*24&lt;Parametri!$B$65)),"KO","OK")</f>
        <v>OK</v>
      </c>
    </row>
    <row r="11" customFormat="false" ht="15" hidden="false" customHeight="true" outlineLevel="0" collapsed="false">
      <c r="A11" s="105" t="str">
        <f aca="false" t="array" ref="A11:A11">IFERROR(INDEX(Personale!$A$5:$A$40,SMALL(IF(Personale!$H$5:$H$40="",ROW(Personale!$A$5:$A$40)-ROW(Personale!$A$5)+1),7)),"")</f>
        <v>ANDREOLI</v>
      </c>
      <c r="B11" s="106" t="str">
        <f aca="false">IFERROR(VLOOKUP($A11,Personale!$A$5:$E$40,2,0),"")</f>
        <v>ADDETTO</v>
      </c>
      <c r="C11" s="107" t="n">
        <f aca="false">IFERROR(VLOOKUP($A11,Personale!$A$5:$E$40,3,0),0)</f>
        <v>25</v>
      </c>
      <c r="D11" s="107" t="n">
        <f aca="false">IFERROR(VLOOKUP($A11,Personale!$A$5:$E$40,4,0),0)</f>
        <v>5</v>
      </c>
      <c r="E11" s="108" t="n">
        <f aca="false">IFERROR(VLOOKUP($A11,Personale!$A$5:$E$40,5,0),0)</f>
        <v>5</v>
      </c>
      <c r="F11" s="109" t="s">
        <v>145</v>
      </c>
      <c r="G11" s="109" t="s">
        <v>145</v>
      </c>
      <c r="H11" s="110" t="n">
        <f aca="false">IF(AND(ISNUMBER(F11),ISNUMBER(G11)),(G11-F11)*24,0)</f>
        <v>0</v>
      </c>
      <c r="I11" s="109" t="s">
        <v>145</v>
      </c>
      <c r="J11" s="109" t="s">
        <v>145</v>
      </c>
      <c r="K11" s="110" t="n">
        <f aca="false">IF(AND(ISNUMBER(I11),ISNUMBER(J11)),(J11-I11)*24,0)</f>
        <v>0</v>
      </c>
      <c r="L11" s="109" t="n">
        <v>0.614583333333333</v>
      </c>
      <c r="M11" s="109" t="n">
        <v>0.885416666666667</v>
      </c>
      <c r="N11" s="110" t="n">
        <f aca="false">IF(AND(ISNUMBER(L11),ISNUMBER(M11)),(M11-L11)*24,0)</f>
        <v>6.5</v>
      </c>
      <c r="O11" s="109" t="n">
        <v>0.677083333333333</v>
      </c>
      <c r="P11" s="109" t="n">
        <v>0.885416666666667</v>
      </c>
      <c r="Q11" s="110" t="n">
        <f aca="false">IF(AND(ISNUMBER(O11),ISNUMBER(P11)),(P11-O11)*24,0)</f>
        <v>5</v>
      </c>
      <c r="R11" s="109" t="n">
        <v>0.583333333333333</v>
      </c>
      <c r="S11" s="109" t="n">
        <v>0.833333333333333</v>
      </c>
      <c r="T11" s="110" t="n">
        <f aca="false">IF(AND(ISNUMBER(R11),ISNUMBER(S11)),(S11-R11)*24,0)</f>
        <v>6</v>
      </c>
      <c r="U11" s="109" t="n">
        <v>0.625</v>
      </c>
      <c r="V11" s="109" t="n">
        <v>0.833333333333333</v>
      </c>
      <c r="W11" s="110" t="n">
        <f aca="false">IF(AND(ISNUMBER(U11),ISNUMBER(V11)),(V11-U11)*24,0)</f>
        <v>5</v>
      </c>
      <c r="X11" s="109" t="n">
        <v>0.479166666666667</v>
      </c>
      <c r="Y11" s="109" t="n">
        <v>0.6875</v>
      </c>
      <c r="Z11" s="110" t="n">
        <f aca="false">IF(AND(ISNUMBER(X11),ISNUMBER(Y11)),(Y11-X11)*24,0)</f>
        <v>5</v>
      </c>
      <c r="AA11" s="111" t="n">
        <f aca="false">H11+K11+N11+Q11+T11+W11+Z11</f>
        <v>27.5</v>
      </c>
      <c r="AB11" s="112" t="n">
        <f aca="false">AA11-C11</f>
        <v>2.5</v>
      </c>
      <c r="AC11" s="113" t="n">
        <f aca="false">(H11&gt;0)+(K11&gt;0)+(N11&gt;0)+(Q11&gt;0)+(T11&gt;0)+(W11&gt;0)+(Z11&gt;0)</f>
        <v>5</v>
      </c>
      <c r="AD11" s="103" t="str">
        <f aca="false">IF(OR(IF(ISNUMBER(G11)*ISNUMBER(I11),(I11+1-G11)*24&lt;Parametri!$B$65),IF(ISNUMBER(J11)*ISNUMBER(L11),(L11+1-J11)*24&lt;Parametri!$B$65),IF(ISNUMBER(M11)*ISNUMBER(O11),(O11+1-M11)*24&lt;Parametri!$B$65),IF(ISNUMBER(P11)*ISNUMBER(R11),(R11+1-P11)*24&lt;Parametri!$B$65),IF(ISNUMBER(S11)*ISNUMBER(U11),(U11+1-S11)*24&lt;Parametri!$B$65),IF(ISNUMBER(V11)*ISNUMBER(X11),(X11+1-V11)*24&lt;Parametri!$B$65),IF(ISNUMBER(Y11)*ISNUMBER(F11),(F11+1-Y11)*24&lt;Parametri!$B$65)),"KO","OK")</f>
        <v>OK</v>
      </c>
    </row>
    <row r="12" customFormat="false" ht="15" hidden="false" customHeight="true" outlineLevel="0" collapsed="false">
      <c r="A12" s="114" t="str">
        <f aca="false" t="array" ref="A12:A12">IFERROR(INDEX(Personale!$A$5:$A$40,SMALL(IF(Personale!$H$5:$H$40="",ROW(Personale!$A$5:$A$40)-ROW(Personale!$A$5)+1),8)),"")</f>
        <v>BELLUCCO</v>
      </c>
      <c r="B12" s="115" t="str">
        <f aca="false">IFERROR(VLOOKUP($A12,Personale!$A$5:$E$40,2,0),"")</f>
        <v>ADDETTO</v>
      </c>
      <c r="C12" s="116" t="n">
        <f aca="false">IFERROR(VLOOKUP($A12,Personale!$A$5:$E$40,3,0),0)</f>
        <v>20</v>
      </c>
      <c r="D12" s="116" t="n">
        <f aca="false">IFERROR(VLOOKUP($A12,Personale!$A$5:$E$40,4,0),0)</f>
        <v>5</v>
      </c>
      <c r="E12" s="117" t="n">
        <f aca="false">IFERROR(VLOOKUP($A12,Personale!$A$5:$E$40,5,0),0)</f>
        <v>4</v>
      </c>
      <c r="F12" s="109" t="n">
        <v>0.697916666666667</v>
      </c>
      <c r="G12" s="109" t="n">
        <v>0.885416666666667</v>
      </c>
      <c r="H12" s="110" t="n">
        <f aca="false">IF(AND(ISNUMBER(F12),ISNUMBER(G12)),(G12-F12)*24,0)</f>
        <v>4.5</v>
      </c>
      <c r="I12" s="109" t="s">
        <v>145</v>
      </c>
      <c r="J12" s="109" t="s">
        <v>145</v>
      </c>
      <c r="K12" s="110" t="n">
        <f aca="false">IF(AND(ISNUMBER(I12),ISNUMBER(J12)),(J12-I12)*24,0)</f>
        <v>0</v>
      </c>
      <c r="L12" s="109" t="n">
        <v>0.25</v>
      </c>
      <c r="M12" s="109" t="n">
        <v>0.458333333333333</v>
      </c>
      <c r="N12" s="110" t="n">
        <f aca="false">IF(AND(ISNUMBER(L12),ISNUMBER(M12)),(M12-L12)*24,0)</f>
        <v>5</v>
      </c>
      <c r="O12" s="109" t="s">
        <v>145</v>
      </c>
      <c r="P12" s="109" t="s">
        <v>145</v>
      </c>
      <c r="Q12" s="110" t="n">
        <f aca="false">IF(AND(ISNUMBER(O12),ISNUMBER(P12)),(P12-O12)*24,0)</f>
        <v>0</v>
      </c>
      <c r="R12" s="109" t="n">
        <v>0.25</v>
      </c>
      <c r="S12" s="109" t="n">
        <v>0.416666666666667</v>
      </c>
      <c r="T12" s="110" t="n">
        <f aca="false">IF(AND(ISNUMBER(R12),ISNUMBER(S12)),(S12-R12)*24,0)</f>
        <v>4</v>
      </c>
      <c r="U12" s="109" t="n">
        <v>0.229166666666667</v>
      </c>
      <c r="V12" s="109" t="n">
        <v>0.395833333333333</v>
      </c>
      <c r="W12" s="110" t="n">
        <f aca="false">IF(AND(ISNUMBER(U12),ISNUMBER(V12)),(V12-U12)*24,0)</f>
        <v>4</v>
      </c>
      <c r="X12" s="109" t="n">
        <v>0.625</v>
      </c>
      <c r="Y12" s="109" t="n">
        <v>0.833333333333333</v>
      </c>
      <c r="Z12" s="110" t="n">
        <f aca="false">IF(AND(ISNUMBER(X12),ISNUMBER(Y12)),(Y12-X12)*24,0)</f>
        <v>5</v>
      </c>
      <c r="AA12" s="118" t="n">
        <f aca="false">H12+K12+N12+Q12+T12+W12+Z12</f>
        <v>22.5</v>
      </c>
      <c r="AB12" s="119" t="n">
        <f aca="false">AA12-C12</f>
        <v>2.5</v>
      </c>
      <c r="AC12" s="120" t="n">
        <f aca="false">(H12&gt;0)+(K12&gt;0)+(N12&gt;0)+(Q12&gt;0)+(T12&gt;0)+(W12&gt;0)+(Z12&gt;0)</f>
        <v>5</v>
      </c>
      <c r="AD12" s="57" t="str">
        <f aca="false">IF(OR(IF(ISNUMBER(G12)*ISNUMBER(I12),(I12+1-G12)*24&lt;Parametri!$B$65),IF(ISNUMBER(J12)*ISNUMBER(L12),(L12+1-J12)*24&lt;Parametri!$B$65),IF(ISNUMBER(M12)*ISNUMBER(O12),(O12+1-M12)*24&lt;Parametri!$B$65),IF(ISNUMBER(P12)*ISNUMBER(R12),(R12+1-P12)*24&lt;Parametri!$B$65),IF(ISNUMBER(S12)*ISNUMBER(U12),(U12+1-S12)*24&lt;Parametri!$B$65),IF(ISNUMBER(V12)*ISNUMBER(X12),(X12+1-V12)*24&lt;Parametri!$B$65),IF(ISNUMBER(Y12)*ISNUMBER(F12),(F12+1-Y12)*24&lt;Parametri!$B$65)),"KO","OK")</f>
        <v>OK</v>
      </c>
    </row>
    <row r="13" customFormat="false" ht="15" hidden="false" customHeight="true" outlineLevel="0" collapsed="false">
      <c r="A13" s="105" t="str">
        <f aca="false" t="array" ref="A13:A13">IFERROR(INDEX(Personale!$A$5:$A$40,SMALL(IF(Personale!$H$5:$H$40="",ROW(Personale!$A$5:$A$40)-ROW(Personale!$A$5)+1),9)),"")</f>
        <v>BUORO</v>
      </c>
      <c r="B13" s="106" t="str">
        <f aca="false">IFERROR(VLOOKUP($A13,Personale!$A$5:$E$40,2,0),"")</f>
        <v>ADDETTO</v>
      </c>
      <c r="C13" s="107" t="n">
        <f aca="false">IFERROR(VLOOKUP($A13,Personale!$A$5:$E$40,3,0),0)</f>
        <v>25</v>
      </c>
      <c r="D13" s="107" t="n">
        <f aca="false">IFERROR(VLOOKUP($A13,Personale!$A$5:$E$40,4,0),0)</f>
        <v>5</v>
      </c>
      <c r="E13" s="108" t="n">
        <f aca="false">IFERROR(VLOOKUP($A13,Personale!$A$5:$E$40,5,0),0)</f>
        <v>5</v>
      </c>
      <c r="F13" s="109" t="n">
        <v>0.458333333333333</v>
      </c>
      <c r="G13" s="109" t="n">
        <v>0.708333333333333</v>
      </c>
      <c r="H13" s="110" t="n">
        <f aca="false">IF(AND(ISNUMBER(F13),ISNUMBER(G13)),(G13-F13)*24,0)</f>
        <v>6</v>
      </c>
      <c r="I13" s="109" t="n">
        <v>0.5625</v>
      </c>
      <c r="J13" s="109" t="n">
        <v>0.833333333333333</v>
      </c>
      <c r="K13" s="110" t="n">
        <f aca="false">IF(AND(ISNUMBER(I13),ISNUMBER(J13)),(J13-I13)*24,0)</f>
        <v>6.5</v>
      </c>
      <c r="L13" s="109" t="s">
        <v>145</v>
      </c>
      <c r="M13" s="109" t="s">
        <v>145</v>
      </c>
      <c r="N13" s="110" t="n">
        <f aca="false">IF(AND(ISNUMBER(L13),ISNUMBER(M13)),(M13-L13)*24,0)</f>
        <v>0</v>
      </c>
      <c r="O13" s="109" t="n">
        <v>0.229166666666667</v>
      </c>
      <c r="P13" s="109" t="n">
        <v>0.4375</v>
      </c>
      <c r="Q13" s="110" t="n">
        <f aca="false">IF(AND(ISNUMBER(O13),ISNUMBER(P13)),(P13-O13)*24,0)</f>
        <v>5</v>
      </c>
      <c r="R13" s="109" t="n">
        <v>0.677083333333333</v>
      </c>
      <c r="S13" s="109" t="n">
        <v>0.885416666666667</v>
      </c>
      <c r="T13" s="110" t="n">
        <f aca="false">IF(AND(ISNUMBER(R13),ISNUMBER(S13)),(S13-R13)*24,0)</f>
        <v>5</v>
      </c>
      <c r="U13" s="109" t="s">
        <v>145</v>
      </c>
      <c r="V13" s="109" t="s">
        <v>145</v>
      </c>
      <c r="W13" s="110" t="n">
        <f aca="false">IF(AND(ISNUMBER(U13),ISNUMBER(V13)),(V13-U13)*24,0)</f>
        <v>0</v>
      </c>
      <c r="X13" s="109" t="n">
        <v>0.541666666666667</v>
      </c>
      <c r="Y13" s="109" t="n">
        <v>0.75</v>
      </c>
      <c r="Z13" s="110" t="n">
        <f aca="false">IF(AND(ISNUMBER(X13),ISNUMBER(Y13)),(Y13-X13)*24,0)</f>
        <v>5</v>
      </c>
      <c r="AA13" s="111" t="n">
        <f aca="false">H13+K13+N13+Q13+T13+W13+Z13</f>
        <v>27.5</v>
      </c>
      <c r="AB13" s="112" t="n">
        <f aca="false">AA13-C13</f>
        <v>2.5</v>
      </c>
      <c r="AC13" s="113" t="n">
        <f aca="false">(H13&gt;0)+(K13&gt;0)+(N13&gt;0)+(Q13&gt;0)+(T13&gt;0)+(W13&gt;0)+(Z13&gt;0)</f>
        <v>5</v>
      </c>
      <c r="AD13" s="103" t="str">
        <f aca="false">IF(OR(IF(ISNUMBER(G13)*ISNUMBER(I13),(I13+1-G13)*24&lt;Parametri!$B$65),IF(ISNUMBER(J13)*ISNUMBER(L13),(L13+1-J13)*24&lt;Parametri!$B$65),IF(ISNUMBER(M13)*ISNUMBER(O13),(O13+1-M13)*24&lt;Parametri!$B$65),IF(ISNUMBER(P13)*ISNUMBER(R13),(R13+1-P13)*24&lt;Parametri!$B$65),IF(ISNUMBER(S13)*ISNUMBER(U13),(U13+1-S13)*24&lt;Parametri!$B$65),IF(ISNUMBER(V13)*ISNUMBER(X13),(X13+1-V13)*24&lt;Parametri!$B$65),IF(ISNUMBER(Y13)*ISNUMBER(F13),(F13+1-Y13)*24&lt;Parametri!$B$65)),"KO","OK")</f>
        <v>OK</v>
      </c>
    </row>
    <row r="14" customFormat="false" ht="15" hidden="false" customHeight="true" outlineLevel="0" collapsed="false">
      <c r="A14" s="114" t="str">
        <f aca="false" t="array" ref="A14:A14">IFERROR(INDEX(Personale!$A$5:$A$40,SMALL(IF(Personale!$H$5:$H$40="",ROW(Personale!$A$5:$A$40)-ROW(Personale!$A$5)+1),10)),"")</f>
        <v>CANOVA</v>
      </c>
      <c r="B14" s="115" t="str">
        <f aca="false">IFERROR(VLOOKUP($A14,Personale!$A$5:$E$40,2,0),"")</f>
        <v>ADDETTO</v>
      </c>
      <c r="C14" s="116" t="n">
        <f aca="false">IFERROR(VLOOKUP($A14,Personale!$A$5:$E$40,3,0),0)</f>
        <v>25</v>
      </c>
      <c r="D14" s="116" t="n">
        <f aca="false">IFERROR(VLOOKUP($A14,Personale!$A$5:$E$40,4,0),0)</f>
        <v>5</v>
      </c>
      <c r="E14" s="117" t="n">
        <f aca="false">IFERROR(VLOOKUP($A14,Personale!$A$5:$E$40,5,0),0)</f>
        <v>5</v>
      </c>
      <c r="F14" s="109" t="n">
        <v>0.677083333333333</v>
      </c>
      <c r="G14" s="109" t="n">
        <v>0.885416666666667</v>
      </c>
      <c r="H14" s="110" t="n">
        <f aca="false">IF(AND(ISNUMBER(F14),ISNUMBER(G14)),(G14-F14)*24,0)</f>
        <v>5</v>
      </c>
      <c r="I14" s="109" t="s">
        <v>145</v>
      </c>
      <c r="J14" s="109" t="s">
        <v>145</v>
      </c>
      <c r="K14" s="110" t="n">
        <f aca="false">IF(AND(ISNUMBER(I14),ISNUMBER(J14)),(J14-I14)*24,0)</f>
        <v>0</v>
      </c>
      <c r="L14" s="109" t="n">
        <v>0.479166666666667</v>
      </c>
      <c r="M14" s="109" t="n">
        <v>0.6875</v>
      </c>
      <c r="N14" s="110" t="n">
        <f aca="false">IF(AND(ISNUMBER(L14),ISNUMBER(M14)),(M14-L14)*24,0)</f>
        <v>5</v>
      </c>
      <c r="O14" s="109" t="s">
        <v>145</v>
      </c>
      <c r="P14" s="109" t="s">
        <v>145</v>
      </c>
      <c r="Q14" s="110" t="n">
        <f aca="false">IF(AND(ISNUMBER(O14),ISNUMBER(P14)),(P14-O14)*24,0)</f>
        <v>0</v>
      </c>
      <c r="R14" s="109" t="n">
        <v>0.416666666666667</v>
      </c>
      <c r="S14" s="109" t="n">
        <v>0.6875</v>
      </c>
      <c r="T14" s="110" t="n">
        <f aca="false">IF(AND(ISNUMBER(R14),ISNUMBER(S14)),(S14-R14)*24,0)</f>
        <v>6.5</v>
      </c>
      <c r="U14" s="109" t="n">
        <v>0.229166666666667</v>
      </c>
      <c r="V14" s="109" t="n">
        <v>0.4375</v>
      </c>
      <c r="W14" s="110" t="n">
        <f aca="false">IF(AND(ISNUMBER(U14),ISNUMBER(V14)),(V14-U14)*24,0)</f>
        <v>5</v>
      </c>
      <c r="X14" s="109" t="n">
        <v>0.354166666666667</v>
      </c>
      <c r="Y14" s="109" t="n">
        <v>0.604166666666667</v>
      </c>
      <c r="Z14" s="110" t="n">
        <f aca="false">IF(AND(ISNUMBER(X14),ISNUMBER(Y14)),(Y14-X14)*24,0)</f>
        <v>6</v>
      </c>
      <c r="AA14" s="118" t="n">
        <f aca="false">H14+K14+N14+Q14+T14+W14+Z14</f>
        <v>27.5</v>
      </c>
      <c r="AB14" s="119" t="n">
        <f aca="false">AA14-C14</f>
        <v>2.5</v>
      </c>
      <c r="AC14" s="120" t="n">
        <f aca="false">(H14&gt;0)+(K14&gt;0)+(N14&gt;0)+(Q14&gt;0)+(T14&gt;0)+(W14&gt;0)+(Z14&gt;0)</f>
        <v>5</v>
      </c>
      <c r="AD14" s="57" t="str">
        <f aca="false">IF(OR(IF(ISNUMBER(G14)*ISNUMBER(I14),(I14+1-G14)*24&lt;Parametri!$B$65),IF(ISNUMBER(J14)*ISNUMBER(L14),(L14+1-J14)*24&lt;Parametri!$B$65),IF(ISNUMBER(M14)*ISNUMBER(O14),(O14+1-M14)*24&lt;Parametri!$B$65),IF(ISNUMBER(P14)*ISNUMBER(R14),(R14+1-P14)*24&lt;Parametri!$B$65),IF(ISNUMBER(S14)*ISNUMBER(U14),(U14+1-S14)*24&lt;Parametri!$B$65),IF(ISNUMBER(V14)*ISNUMBER(X14),(X14+1-V14)*24&lt;Parametri!$B$65),IF(ISNUMBER(Y14)*ISNUMBER(F14),(F14+1-Y14)*24&lt;Parametri!$B$65)),"KO","OK")</f>
        <v>OK</v>
      </c>
    </row>
    <row r="15" customFormat="false" ht="15" hidden="false" customHeight="true" outlineLevel="0" collapsed="false">
      <c r="A15" s="105" t="str">
        <f aca="false" t="array" ref="A15:A15">IFERROR(INDEX(Personale!$A$5:$A$40,SMALL(IF(Personale!$H$5:$H$40="",ROW(Personale!$A$5:$A$40)-ROW(Personale!$A$5)+1),11)),"")</f>
        <v>CHIERZI</v>
      </c>
      <c r="B15" s="106" t="str">
        <f aca="false">IFERROR(VLOOKUP($A15,Personale!$A$5:$E$40,2,0),"")</f>
        <v>ADDETTO</v>
      </c>
      <c r="C15" s="107" t="n">
        <f aca="false">IFERROR(VLOOKUP($A15,Personale!$A$5:$E$40,3,0),0)</f>
        <v>25</v>
      </c>
      <c r="D15" s="107" t="n">
        <f aca="false">IFERROR(VLOOKUP($A15,Personale!$A$5:$E$40,4,0),0)</f>
        <v>5</v>
      </c>
      <c r="E15" s="108" t="n">
        <f aca="false">IFERROR(VLOOKUP($A15,Personale!$A$5:$E$40,5,0),0)</f>
        <v>5</v>
      </c>
      <c r="F15" s="109" t="n">
        <v>0.229166666666667</v>
      </c>
      <c r="G15" s="109" t="n">
        <v>0.4375</v>
      </c>
      <c r="H15" s="110" t="n">
        <f aca="false">IF(AND(ISNUMBER(F15),ISNUMBER(G15)),(G15-F15)*24,0)</f>
        <v>5</v>
      </c>
      <c r="I15" s="109" t="n">
        <v>0.25</v>
      </c>
      <c r="J15" s="109" t="n">
        <v>0.5</v>
      </c>
      <c r="K15" s="110" t="n">
        <f aca="false">IF(AND(ISNUMBER(I15),ISNUMBER(J15)),(J15-I15)*24,0)</f>
        <v>6</v>
      </c>
      <c r="L15" s="109" t="n">
        <v>0.666666666666667</v>
      </c>
      <c r="M15" s="109" t="n">
        <v>0.875</v>
      </c>
      <c r="N15" s="110" t="n">
        <f aca="false">IF(AND(ISNUMBER(L15),ISNUMBER(M15)),(M15-L15)*24,0)</f>
        <v>5</v>
      </c>
      <c r="O15" s="109" t="n">
        <v>0.5625</v>
      </c>
      <c r="P15" s="109" t="n">
        <v>0.8125</v>
      </c>
      <c r="Q15" s="110" t="n">
        <f aca="false">IF(AND(ISNUMBER(O15),ISNUMBER(P15)),(P15-O15)*24,0)</f>
        <v>6</v>
      </c>
      <c r="R15" s="109" t="s">
        <v>145</v>
      </c>
      <c r="S15" s="109" t="s">
        <v>145</v>
      </c>
      <c r="T15" s="110" t="n">
        <f aca="false">IF(AND(ISNUMBER(R15),ISNUMBER(S15)),(S15-R15)*24,0)</f>
        <v>0</v>
      </c>
      <c r="U15" s="109" t="n">
        <v>0.604166666666667</v>
      </c>
      <c r="V15" s="109" t="n">
        <v>0.833333333333333</v>
      </c>
      <c r="W15" s="110" t="n">
        <f aca="false">IF(AND(ISNUMBER(U15),ISNUMBER(V15)),(V15-U15)*24,0)</f>
        <v>5.5</v>
      </c>
      <c r="X15" s="109" t="s">
        <v>145</v>
      </c>
      <c r="Y15" s="109" t="s">
        <v>145</v>
      </c>
      <c r="Z15" s="110" t="n">
        <f aca="false">IF(AND(ISNUMBER(X15),ISNUMBER(Y15)),(Y15-X15)*24,0)</f>
        <v>0</v>
      </c>
      <c r="AA15" s="111" t="n">
        <f aca="false">H15+K15+N15+Q15+T15+W15+Z15</f>
        <v>27.5</v>
      </c>
      <c r="AB15" s="112" t="n">
        <f aca="false">AA15-C15</f>
        <v>2.5</v>
      </c>
      <c r="AC15" s="113" t="n">
        <f aca="false">(H15&gt;0)+(K15&gt;0)+(N15&gt;0)+(Q15&gt;0)+(T15&gt;0)+(W15&gt;0)+(Z15&gt;0)</f>
        <v>5</v>
      </c>
      <c r="AD15" s="103" t="str">
        <f aca="false">IF(OR(IF(ISNUMBER(G15)*ISNUMBER(I15),(I15+1-G15)*24&lt;Parametri!$B$65),IF(ISNUMBER(J15)*ISNUMBER(L15),(L15+1-J15)*24&lt;Parametri!$B$65),IF(ISNUMBER(M15)*ISNUMBER(O15),(O15+1-M15)*24&lt;Parametri!$B$65),IF(ISNUMBER(P15)*ISNUMBER(R15),(R15+1-P15)*24&lt;Parametri!$B$65),IF(ISNUMBER(S15)*ISNUMBER(U15),(U15+1-S15)*24&lt;Parametri!$B$65),IF(ISNUMBER(V15)*ISNUMBER(X15),(X15+1-V15)*24&lt;Parametri!$B$65),IF(ISNUMBER(Y15)*ISNUMBER(F15),(F15+1-Y15)*24&lt;Parametri!$B$65)),"KO","OK")</f>
        <v>OK</v>
      </c>
    </row>
    <row r="16" customFormat="false" ht="15" hidden="false" customHeight="true" outlineLevel="0" collapsed="false">
      <c r="A16" s="114" t="str">
        <f aca="false" t="array" ref="A16:A16">IFERROR(INDEX(Personale!$A$5:$A$40,SMALL(IF(Personale!$H$5:$H$40="",ROW(Personale!$A$5:$A$40)-ROW(Personale!$A$5)+1),12)),"")</f>
        <v>BUGRYM</v>
      </c>
      <c r="B16" s="115" t="str">
        <f aca="false">IFERROR(VLOOKUP($A16,Personale!$A$5:$E$40,2,0),"")</f>
        <v>ADDETTO</v>
      </c>
      <c r="C16" s="116" t="n">
        <f aca="false">IFERROR(VLOOKUP($A16,Personale!$A$5:$E$40,3,0),0)</f>
        <v>25</v>
      </c>
      <c r="D16" s="116" t="n">
        <f aca="false">IFERROR(VLOOKUP($A16,Personale!$A$5:$E$40,4,0),0)</f>
        <v>5</v>
      </c>
      <c r="E16" s="117" t="n">
        <f aca="false">IFERROR(VLOOKUP($A16,Personale!$A$5:$E$40,5,0),0)</f>
        <v>5</v>
      </c>
      <c r="F16" s="109" t="s">
        <v>145</v>
      </c>
      <c r="G16" s="109" t="s">
        <v>145</v>
      </c>
      <c r="H16" s="110" t="n">
        <f aca="false">IF(AND(ISNUMBER(F16),ISNUMBER(G16)),(G16-F16)*24,0)</f>
        <v>0</v>
      </c>
      <c r="I16" s="109" t="n">
        <v>0.520833333333333</v>
      </c>
      <c r="J16" s="109" t="n">
        <v>0.75</v>
      </c>
      <c r="K16" s="110" t="n">
        <f aca="false">IF(AND(ISNUMBER(I16),ISNUMBER(J16)),(J16-I16)*24,0)</f>
        <v>5.5</v>
      </c>
      <c r="L16" s="109" t="s">
        <v>145</v>
      </c>
      <c r="M16" s="109" t="s">
        <v>145</v>
      </c>
      <c r="N16" s="110" t="n">
        <f aca="false">IF(AND(ISNUMBER(L16),ISNUMBER(M16)),(M16-L16)*24,0)</f>
        <v>0</v>
      </c>
      <c r="O16" s="109" t="n">
        <v>0.458333333333333</v>
      </c>
      <c r="P16" s="109" t="n">
        <v>0.6875</v>
      </c>
      <c r="Q16" s="110" t="n">
        <f aca="false">IF(AND(ISNUMBER(O16),ISNUMBER(P16)),(P16-O16)*24,0)</f>
        <v>5.5</v>
      </c>
      <c r="R16" s="109" t="n">
        <v>0.5625</v>
      </c>
      <c r="S16" s="109" t="n">
        <v>0.770833333333333</v>
      </c>
      <c r="T16" s="110" t="n">
        <f aca="false">IF(AND(ISNUMBER(R16),ISNUMBER(S16)),(S16-R16)*24,0)</f>
        <v>5</v>
      </c>
      <c r="U16" s="109" t="n">
        <v>0.677083333333333</v>
      </c>
      <c r="V16" s="109" t="n">
        <v>0.885416666666667</v>
      </c>
      <c r="W16" s="110" t="n">
        <f aca="false">IF(AND(ISNUMBER(U16),ISNUMBER(V16)),(V16-U16)*24,0)</f>
        <v>5</v>
      </c>
      <c r="X16" s="109" t="n">
        <v>0.614583333333333</v>
      </c>
      <c r="Y16" s="109" t="n">
        <v>0.885416666666667</v>
      </c>
      <c r="Z16" s="110" t="n">
        <f aca="false">IF(AND(ISNUMBER(X16),ISNUMBER(Y16)),(Y16-X16)*24,0)</f>
        <v>6.5</v>
      </c>
      <c r="AA16" s="118" t="n">
        <f aca="false">H16+K16+N16+Q16+T16+W16+Z16</f>
        <v>27.5</v>
      </c>
      <c r="AB16" s="119" t="n">
        <f aca="false">AA16-C16</f>
        <v>2.5</v>
      </c>
      <c r="AC16" s="120" t="n">
        <f aca="false">(H16&gt;0)+(K16&gt;0)+(N16&gt;0)+(Q16&gt;0)+(T16&gt;0)+(W16&gt;0)+(Z16&gt;0)</f>
        <v>5</v>
      </c>
      <c r="AD16" s="57" t="str">
        <f aca="false">IF(OR(IF(ISNUMBER(G16)*ISNUMBER(I16),(I16+1-G16)*24&lt;Parametri!$B$65),IF(ISNUMBER(J16)*ISNUMBER(L16),(L16+1-J16)*24&lt;Parametri!$B$65),IF(ISNUMBER(M16)*ISNUMBER(O16),(O16+1-M16)*24&lt;Parametri!$B$65),IF(ISNUMBER(P16)*ISNUMBER(R16),(R16+1-P16)*24&lt;Parametri!$B$65),IF(ISNUMBER(S16)*ISNUMBER(U16),(U16+1-S16)*24&lt;Parametri!$B$65),IF(ISNUMBER(V16)*ISNUMBER(X16),(X16+1-V16)*24&lt;Parametri!$B$65),IF(ISNUMBER(Y16)*ISNUMBER(F16),(F16+1-Y16)*24&lt;Parametri!$B$65)),"KO","OK")</f>
        <v>OK</v>
      </c>
    </row>
    <row r="17" customFormat="false" ht="15" hidden="false" customHeight="true" outlineLevel="0" collapsed="false">
      <c r="A17" s="105" t="str">
        <f aca="false" t="array" ref="A17:A17">IFERROR(INDEX(Personale!$A$5:$A$40,SMALL(IF(Personale!$H$5:$H$40="",ROW(Personale!$A$5:$A$40)-ROW(Personale!$A$5)+1),13)),"")</f>
        <v>DAL ZOT</v>
      </c>
      <c r="B17" s="106" t="str">
        <f aca="false">IFERROR(VLOOKUP($A17,Personale!$A$5:$E$40,2,0),"")</f>
        <v>ADDETTO</v>
      </c>
      <c r="C17" s="107" t="n">
        <f aca="false">IFERROR(VLOOKUP($A17,Personale!$A$5:$E$40,3,0),0)</f>
        <v>25</v>
      </c>
      <c r="D17" s="107" t="n">
        <f aca="false">IFERROR(VLOOKUP($A17,Personale!$A$5:$E$40,4,0),0)</f>
        <v>5</v>
      </c>
      <c r="E17" s="108" t="n">
        <f aca="false">IFERROR(VLOOKUP($A17,Personale!$A$5:$E$40,5,0),0)</f>
        <v>5</v>
      </c>
      <c r="F17" s="109" t="n">
        <v>0.416666666666667</v>
      </c>
      <c r="G17" s="109" t="n">
        <v>0.625</v>
      </c>
      <c r="H17" s="110" t="n">
        <f aca="false">IF(AND(ISNUMBER(F17),ISNUMBER(G17)),(G17-F17)*24,0)</f>
        <v>5</v>
      </c>
      <c r="I17" s="109" t="n">
        <v>0.25</v>
      </c>
      <c r="J17" s="109" t="n">
        <v>0.458333333333333</v>
      </c>
      <c r="K17" s="110" t="n">
        <f aca="false">IF(AND(ISNUMBER(I17),ISNUMBER(J17)),(J17-I17)*24,0)</f>
        <v>5</v>
      </c>
      <c r="L17" s="109" t="n">
        <v>0.25</v>
      </c>
      <c r="M17" s="109" t="n">
        <v>0.541666666666667</v>
      </c>
      <c r="N17" s="110" t="n">
        <f aca="false">IF(AND(ISNUMBER(L17),ISNUMBER(M17)),(M17-L17)*24,0)</f>
        <v>7</v>
      </c>
      <c r="O17" s="109" t="s">
        <v>145</v>
      </c>
      <c r="P17" s="109" t="s">
        <v>145</v>
      </c>
      <c r="Q17" s="110" t="n">
        <f aca="false">IF(AND(ISNUMBER(O17),ISNUMBER(P17)),(P17-O17)*24,0)</f>
        <v>0</v>
      </c>
      <c r="R17" s="109" t="n">
        <v>0.333333333333333</v>
      </c>
      <c r="S17" s="109" t="n">
        <v>0.5625</v>
      </c>
      <c r="T17" s="110" t="n">
        <f aca="false">IF(AND(ISNUMBER(R17),ISNUMBER(S17)),(S17-R17)*24,0)</f>
        <v>5.5</v>
      </c>
      <c r="U17" s="109" t="s">
        <v>145</v>
      </c>
      <c r="V17" s="109" t="s">
        <v>145</v>
      </c>
      <c r="W17" s="110" t="n">
        <f aca="false">IF(AND(ISNUMBER(U17),ISNUMBER(V17)),(V17-U17)*24,0)</f>
        <v>0</v>
      </c>
      <c r="X17" s="109" t="n">
        <v>0.677083333333333</v>
      </c>
      <c r="Y17" s="109" t="n">
        <v>0.885416666666667</v>
      </c>
      <c r="Z17" s="110" t="n">
        <f aca="false">IF(AND(ISNUMBER(X17),ISNUMBER(Y17)),(Y17-X17)*24,0)</f>
        <v>5</v>
      </c>
      <c r="AA17" s="111" t="n">
        <f aca="false">H17+K17+N17+Q17+T17+W17+Z17</f>
        <v>27.5</v>
      </c>
      <c r="AB17" s="112" t="n">
        <f aca="false">AA17-C17</f>
        <v>2.5</v>
      </c>
      <c r="AC17" s="113" t="n">
        <f aca="false">(H17&gt;0)+(K17&gt;0)+(N17&gt;0)+(Q17&gt;0)+(T17&gt;0)+(W17&gt;0)+(Z17&gt;0)</f>
        <v>5</v>
      </c>
      <c r="AD17" s="103" t="str">
        <f aca="false">IF(OR(IF(ISNUMBER(G17)*ISNUMBER(I17),(I17+1-G17)*24&lt;Parametri!$B$65),IF(ISNUMBER(J17)*ISNUMBER(L17),(L17+1-J17)*24&lt;Parametri!$B$65),IF(ISNUMBER(M17)*ISNUMBER(O17),(O17+1-M17)*24&lt;Parametri!$B$65),IF(ISNUMBER(P17)*ISNUMBER(R17),(R17+1-P17)*24&lt;Parametri!$B$65),IF(ISNUMBER(S17)*ISNUMBER(U17),(U17+1-S17)*24&lt;Parametri!$B$65),IF(ISNUMBER(V17)*ISNUMBER(X17),(X17+1-V17)*24&lt;Parametri!$B$65),IF(ISNUMBER(Y17)*ISNUMBER(F17),(F17+1-Y17)*24&lt;Parametri!$B$65)),"KO","OK")</f>
        <v>OK</v>
      </c>
    </row>
    <row r="18" customFormat="false" ht="15" hidden="false" customHeight="true" outlineLevel="0" collapsed="false">
      <c r="A18" s="114" t="str">
        <f aca="false" t="array" ref="A18:A18">IFERROR(INDEX(Personale!$A$5:$A$40,SMALL(IF(Personale!$H$5:$H$40="",ROW(Personale!$A$5:$A$40)-ROW(Personale!$A$5)+1),14)),"")</f>
        <v>DE NARDIN</v>
      </c>
      <c r="B18" s="115" t="str">
        <f aca="false">IFERROR(VLOOKUP($A18,Personale!$A$5:$E$40,2,0),"")</f>
        <v>ADDETTO</v>
      </c>
      <c r="C18" s="116" t="n">
        <f aca="false">IFERROR(VLOOKUP($A18,Personale!$A$5:$E$40,3,0),0)</f>
        <v>25</v>
      </c>
      <c r="D18" s="116" t="n">
        <f aca="false">IFERROR(VLOOKUP($A18,Personale!$A$5:$E$40,4,0),0)</f>
        <v>5</v>
      </c>
      <c r="E18" s="117" t="n">
        <f aca="false">IFERROR(VLOOKUP($A18,Personale!$A$5:$E$40,5,0),0)</f>
        <v>5</v>
      </c>
      <c r="F18" s="109" t="n">
        <v>0.229166666666667</v>
      </c>
      <c r="G18" s="109" t="n">
        <v>0.479166666666667</v>
      </c>
      <c r="H18" s="110" t="n">
        <f aca="false">IF(AND(ISNUMBER(F18),ISNUMBER(G18)),(G18-F18)*24,0)</f>
        <v>6</v>
      </c>
      <c r="I18" s="109" t="s">
        <v>145</v>
      </c>
      <c r="J18" s="109" t="s">
        <v>145</v>
      </c>
      <c r="K18" s="110" t="n">
        <f aca="false">IF(AND(ISNUMBER(I18),ISNUMBER(J18)),(J18-I18)*24,0)</f>
        <v>0</v>
      </c>
      <c r="L18" s="109" t="n">
        <v>0.625</v>
      </c>
      <c r="M18" s="109" t="n">
        <v>0.833333333333333</v>
      </c>
      <c r="N18" s="110" t="n">
        <f aca="false">IF(AND(ISNUMBER(L18),ISNUMBER(M18)),(M18-L18)*24,0)</f>
        <v>5</v>
      </c>
      <c r="O18" s="109" t="n">
        <v>0.333333333333333</v>
      </c>
      <c r="P18" s="109" t="n">
        <v>0.5625</v>
      </c>
      <c r="Q18" s="110" t="n">
        <f aca="false">IF(AND(ISNUMBER(O18),ISNUMBER(P18)),(P18-O18)*24,0)</f>
        <v>5.5</v>
      </c>
      <c r="R18" s="109" t="s">
        <v>145</v>
      </c>
      <c r="S18" s="109" t="s">
        <v>145</v>
      </c>
      <c r="T18" s="110" t="n">
        <f aca="false">IF(AND(ISNUMBER(R18),ISNUMBER(S18)),(S18-R18)*24,0)</f>
        <v>0</v>
      </c>
      <c r="U18" s="109" t="n">
        <v>0.458333333333333</v>
      </c>
      <c r="V18" s="109" t="n">
        <v>0.6875</v>
      </c>
      <c r="W18" s="110" t="n">
        <f aca="false">IF(AND(ISNUMBER(U18),ISNUMBER(V18)),(V18-U18)*24,0)</f>
        <v>5.5</v>
      </c>
      <c r="X18" s="109" t="n">
        <v>0.25</v>
      </c>
      <c r="Y18" s="109" t="n">
        <v>0.479166666666667</v>
      </c>
      <c r="Z18" s="110" t="n">
        <f aca="false">IF(AND(ISNUMBER(X18),ISNUMBER(Y18)),(Y18-X18)*24,0)</f>
        <v>5.5</v>
      </c>
      <c r="AA18" s="118" t="n">
        <f aca="false">H18+K18+N18+Q18+T18+W18+Z18</f>
        <v>27.5</v>
      </c>
      <c r="AB18" s="119" t="n">
        <f aca="false">AA18-C18</f>
        <v>2.5</v>
      </c>
      <c r="AC18" s="120" t="n">
        <f aca="false">(H18&gt;0)+(K18&gt;0)+(N18&gt;0)+(Q18&gt;0)+(T18&gt;0)+(W18&gt;0)+(Z18&gt;0)</f>
        <v>5</v>
      </c>
      <c r="AD18" s="57" t="str">
        <f aca="false">IF(OR(IF(ISNUMBER(G18)*ISNUMBER(I18),(I18+1-G18)*24&lt;Parametri!$B$65),IF(ISNUMBER(J18)*ISNUMBER(L18),(L18+1-J18)*24&lt;Parametri!$B$65),IF(ISNUMBER(M18)*ISNUMBER(O18),(O18+1-M18)*24&lt;Parametri!$B$65),IF(ISNUMBER(P18)*ISNUMBER(R18),(R18+1-P18)*24&lt;Parametri!$B$65),IF(ISNUMBER(S18)*ISNUMBER(U18),(U18+1-S18)*24&lt;Parametri!$B$65),IF(ISNUMBER(V18)*ISNUMBER(X18),(X18+1-V18)*24&lt;Parametri!$B$65),IF(ISNUMBER(Y18)*ISNUMBER(F18),(F18+1-Y18)*24&lt;Parametri!$B$65)),"KO","OK")</f>
        <v>OK</v>
      </c>
    </row>
    <row r="19" customFormat="false" ht="15" hidden="false" customHeight="true" outlineLevel="0" collapsed="false">
      <c r="A19" s="105" t="str">
        <f aca="false" t="array" ref="A19:A19">IFERROR(INDEX(Personale!$A$5:$A$40,SMALL(IF(Personale!$H$5:$H$40="",ROW(Personale!$A$5:$A$40)-ROW(Personale!$A$5)+1),15)),"")</f>
        <v>DE VIDO</v>
      </c>
      <c r="B19" s="106" t="str">
        <f aca="false">IFERROR(VLOOKUP($A19,Personale!$A$5:$E$40,2,0),"")</f>
        <v>ADDETTO</v>
      </c>
      <c r="C19" s="107" t="n">
        <f aca="false">IFERROR(VLOOKUP($A19,Personale!$A$5:$E$40,3,0),0)</f>
        <v>30</v>
      </c>
      <c r="D19" s="107" t="n">
        <f aca="false">IFERROR(VLOOKUP($A19,Personale!$A$5:$E$40,4,0),0)</f>
        <v>5</v>
      </c>
      <c r="E19" s="108" t="n">
        <f aca="false">IFERROR(VLOOKUP($A19,Personale!$A$5:$E$40,5,0),0)</f>
        <v>6</v>
      </c>
      <c r="F19" s="109" t="n">
        <v>0.583333333333333</v>
      </c>
      <c r="G19" s="109" t="n">
        <v>0.833333333333333</v>
      </c>
      <c r="H19" s="110" t="n">
        <f aca="false">IF(AND(ISNUMBER(F19),ISNUMBER(G19)),(G19-F19)*24,0)</f>
        <v>6</v>
      </c>
      <c r="I19" s="109" t="n">
        <v>0.614583333333333</v>
      </c>
      <c r="J19" s="109" t="n">
        <v>0.885416666666667</v>
      </c>
      <c r="K19" s="110" t="n">
        <f aca="false">IF(AND(ISNUMBER(I19),ISNUMBER(J19)),(J19-I19)*24,0)</f>
        <v>6.5</v>
      </c>
      <c r="L19" s="109" t="n">
        <v>0.354166666666667</v>
      </c>
      <c r="M19" s="109" t="n">
        <v>0.625</v>
      </c>
      <c r="N19" s="110" t="n">
        <f aca="false">IF(AND(ISNUMBER(L19),ISNUMBER(M19)),(M19-L19)*24,0)</f>
        <v>6.5</v>
      </c>
      <c r="O19" s="109" t="s">
        <v>145</v>
      </c>
      <c r="P19" s="109" t="s">
        <v>145</v>
      </c>
      <c r="Q19" s="110" t="n">
        <f aca="false">IF(AND(ISNUMBER(O19),ISNUMBER(P19)),(P19-O19)*24,0)</f>
        <v>0</v>
      </c>
      <c r="R19" s="109" t="n">
        <v>0.25</v>
      </c>
      <c r="S19" s="109" t="n">
        <v>0.520833333333333</v>
      </c>
      <c r="T19" s="110" t="n">
        <f aca="false">IF(AND(ISNUMBER(R19),ISNUMBER(S19)),(S19-R19)*24,0)</f>
        <v>6.5</v>
      </c>
      <c r="U19" s="109" t="s">
        <v>145</v>
      </c>
      <c r="V19" s="109" t="s">
        <v>145</v>
      </c>
      <c r="W19" s="110" t="n">
        <f aca="false">IF(AND(ISNUMBER(U19),ISNUMBER(V19)),(V19-U19)*24,0)</f>
        <v>0</v>
      </c>
      <c r="X19" s="109" t="n">
        <v>0.25</v>
      </c>
      <c r="Y19" s="109" t="n">
        <v>0.541666666666667</v>
      </c>
      <c r="Z19" s="110" t="n">
        <f aca="false">IF(AND(ISNUMBER(X19),ISNUMBER(Y19)),(Y19-X19)*24,0)</f>
        <v>7</v>
      </c>
      <c r="AA19" s="111" t="n">
        <f aca="false">H19+K19+N19+Q19+T19+W19+Z19</f>
        <v>32.5</v>
      </c>
      <c r="AB19" s="112" t="n">
        <f aca="false">AA19-C19</f>
        <v>2.5</v>
      </c>
      <c r="AC19" s="113" t="n">
        <f aca="false">(H19&gt;0)+(K19&gt;0)+(N19&gt;0)+(Q19&gt;0)+(T19&gt;0)+(W19&gt;0)+(Z19&gt;0)</f>
        <v>5</v>
      </c>
      <c r="AD19" s="103" t="str">
        <f aca="false">IF(OR(IF(ISNUMBER(G19)*ISNUMBER(I19),(I19+1-G19)*24&lt;Parametri!$B$65),IF(ISNUMBER(J19)*ISNUMBER(L19),(L19+1-J19)*24&lt;Parametri!$B$65),IF(ISNUMBER(M19)*ISNUMBER(O19),(O19+1-M19)*24&lt;Parametri!$B$65),IF(ISNUMBER(P19)*ISNUMBER(R19),(R19+1-P19)*24&lt;Parametri!$B$65),IF(ISNUMBER(S19)*ISNUMBER(U19),(U19+1-S19)*24&lt;Parametri!$B$65),IF(ISNUMBER(V19)*ISNUMBER(X19),(X19+1-V19)*24&lt;Parametri!$B$65),IF(ISNUMBER(Y19)*ISNUMBER(F19),(F19+1-Y19)*24&lt;Parametri!$B$65)),"KO","OK")</f>
        <v>OK</v>
      </c>
    </row>
    <row r="20" customFormat="false" ht="15" hidden="false" customHeight="true" outlineLevel="0" collapsed="false">
      <c r="A20" s="114" t="str">
        <f aca="false" t="array" ref="A20:A20">IFERROR(INDEX(Personale!$A$5:$A$40,SMALL(IF(Personale!$H$5:$H$40="",ROW(Personale!$A$5:$A$40)-ROW(Personale!$A$5)+1),16)),"")</f>
        <v>GALLINA</v>
      </c>
      <c r="B20" s="115" t="str">
        <f aca="false">IFERROR(VLOOKUP($A20,Personale!$A$5:$E$40,2,0),"")</f>
        <v>ADDETTO</v>
      </c>
      <c r="C20" s="116" t="n">
        <f aca="false">IFERROR(VLOOKUP($A20,Personale!$A$5:$E$40,3,0),0)</f>
        <v>25</v>
      </c>
      <c r="D20" s="116" t="n">
        <f aca="false">IFERROR(VLOOKUP($A20,Personale!$A$5:$E$40,4,0),0)</f>
        <v>5</v>
      </c>
      <c r="E20" s="117" t="n">
        <f aca="false">IFERROR(VLOOKUP($A20,Personale!$A$5:$E$40,5,0),0)</f>
        <v>5</v>
      </c>
      <c r="F20" s="109" t="s">
        <v>145</v>
      </c>
      <c r="G20" s="109" t="s">
        <v>145</v>
      </c>
      <c r="H20" s="110" t="n">
        <f aca="false">IF(AND(ISNUMBER(F20),ISNUMBER(G20)),(G20-F20)*24,0)</f>
        <v>0</v>
      </c>
      <c r="I20" s="109" t="n">
        <v>0.25</v>
      </c>
      <c r="J20" s="109" t="n">
        <v>0.520833333333333</v>
      </c>
      <c r="K20" s="110" t="n">
        <f aca="false">IF(AND(ISNUMBER(I20),ISNUMBER(J20)),(J20-I20)*24,0)</f>
        <v>6.5</v>
      </c>
      <c r="L20" s="109" t="n">
        <v>0.541666666666667</v>
      </c>
      <c r="M20" s="109" t="n">
        <v>0.75</v>
      </c>
      <c r="N20" s="110" t="n">
        <f aca="false">IF(AND(ISNUMBER(L20),ISNUMBER(M20)),(M20-L20)*24,0)</f>
        <v>5</v>
      </c>
      <c r="O20" s="109" t="n">
        <v>0.541666666666667</v>
      </c>
      <c r="P20" s="109" t="n">
        <v>0.791666666666667</v>
      </c>
      <c r="Q20" s="110" t="n">
        <f aca="false">IF(AND(ISNUMBER(O20),ISNUMBER(P20)),(P20-O20)*24,0)</f>
        <v>6</v>
      </c>
      <c r="R20" s="109" t="n">
        <v>0.677083333333333</v>
      </c>
      <c r="S20" s="109" t="n">
        <v>0.885416666666667</v>
      </c>
      <c r="T20" s="110" t="n">
        <f aca="false">IF(AND(ISNUMBER(R20),ISNUMBER(S20)),(S20-R20)*24,0)</f>
        <v>5</v>
      </c>
      <c r="U20" s="109" t="n">
        <v>0.666666666666667</v>
      </c>
      <c r="V20" s="109" t="n">
        <v>0.875</v>
      </c>
      <c r="W20" s="110" t="n">
        <f aca="false">IF(AND(ISNUMBER(U20),ISNUMBER(V20)),(V20-U20)*24,0)</f>
        <v>5</v>
      </c>
      <c r="X20" s="109" t="s">
        <v>145</v>
      </c>
      <c r="Y20" s="109" t="s">
        <v>145</v>
      </c>
      <c r="Z20" s="110" t="n">
        <f aca="false">IF(AND(ISNUMBER(X20),ISNUMBER(Y20)),(Y20-X20)*24,0)</f>
        <v>0</v>
      </c>
      <c r="AA20" s="118" t="n">
        <f aca="false">H20+K20+N20+Q20+T20+W20+Z20</f>
        <v>27.5</v>
      </c>
      <c r="AB20" s="119" t="n">
        <f aca="false">AA20-C20</f>
        <v>2.5</v>
      </c>
      <c r="AC20" s="120" t="n">
        <f aca="false">(H20&gt;0)+(K20&gt;0)+(N20&gt;0)+(Q20&gt;0)+(T20&gt;0)+(W20&gt;0)+(Z20&gt;0)</f>
        <v>5</v>
      </c>
      <c r="AD20" s="57" t="str">
        <f aca="false">IF(OR(IF(ISNUMBER(G20)*ISNUMBER(I20),(I20+1-G20)*24&lt;Parametri!$B$65),IF(ISNUMBER(J20)*ISNUMBER(L20),(L20+1-J20)*24&lt;Parametri!$B$65),IF(ISNUMBER(M20)*ISNUMBER(O20),(O20+1-M20)*24&lt;Parametri!$B$65),IF(ISNUMBER(P20)*ISNUMBER(R20),(R20+1-P20)*24&lt;Parametri!$B$65),IF(ISNUMBER(S20)*ISNUMBER(U20),(U20+1-S20)*24&lt;Parametri!$B$65),IF(ISNUMBER(V20)*ISNUMBER(X20),(X20+1-V20)*24&lt;Parametri!$B$65),IF(ISNUMBER(Y20)*ISNUMBER(F20),(F20+1-Y20)*24&lt;Parametri!$B$65)),"KO","OK")</f>
        <v>OK</v>
      </c>
    </row>
    <row r="21" customFormat="false" ht="15" hidden="false" customHeight="true" outlineLevel="0" collapsed="false">
      <c r="A21" s="105" t="str">
        <f aca="false" t="array" ref="A21:A21">IFERROR(INDEX(Personale!$A$5:$A$40,SMALL(IF(Personale!$H$5:$H$40="",ROW(Personale!$A$5:$A$40)-ROW(Personale!$A$5)+1),17)),"")</f>
        <v>MARZANO</v>
      </c>
      <c r="B21" s="106" t="str">
        <f aca="false">IFERROR(VLOOKUP($A21,Personale!$A$5:$E$40,2,0),"")</f>
        <v>ADDETTO</v>
      </c>
      <c r="C21" s="107" t="n">
        <f aca="false">IFERROR(VLOOKUP($A21,Personale!$A$5:$E$40,3,0),0)</f>
        <v>30</v>
      </c>
      <c r="D21" s="107" t="n">
        <f aca="false">IFERROR(VLOOKUP($A21,Personale!$A$5:$E$40,4,0),0)</f>
        <v>5</v>
      </c>
      <c r="E21" s="108" t="n">
        <f aca="false">IFERROR(VLOOKUP($A21,Personale!$A$5:$E$40,5,0),0)</f>
        <v>6</v>
      </c>
      <c r="F21" s="109" t="n">
        <v>0.333333333333333</v>
      </c>
      <c r="G21" s="109" t="n">
        <v>0.583333333333333</v>
      </c>
      <c r="H21" s="110" t="n">
        <f aca="false">IF(AND(ISNUMBER(F21),ISNUMBER(G21)),(G21-F21)*24,0)</f>
        <v>6</v>
      </c>
      <c r="I21" s="109" t="n">
        <v>0.375</v>
      </c>
      <c r="J21" s="109" t="n">
        <v>0.625</v>
      </c>
      <c r="K21" s="110" t="n">
        <f aca="false">IF(AND(ISNUMBER(I21),ISNUMBER(J21)),(J21-I21)*24,0)</f>
        <v>6</v>
      </c>
      <c r="L21" s="109" t="n">
        <v>0.25</v>
      </c>
      <c r="M21" s="109" t="n">
        <v>0.5</v>
      </c>
      <c r="N21" s="110" t="n">
        <f aca="false">IF(AND(ISNUMBER(L21),ISNUMBER(M21)),(M21-L21)*24,0)</f>
        <v>6</v>
      </c>
      <c r="O21" s="109" t="n">
        <v>0.229166666666667</v>
      </c>
      <c r="P21" s="109" t="n">
        <v>0.541666666666667</v>
      </c>
      <c r="Q21" s="110" t="n">
        <f aca="false">IF(AND(ISNUMBER(O21),ISNUMBER(P21)),(P21-O21)*24,0)</f>
        <v>7.5</v>
      </c>
      <c r="R21" s="109" t="s">
        <v>145</v>
      </c>
      <c r="S21" s="109" t="s">
        <v>145</v>
      </c>
      <c r="T21" s="110" t="n">
        <f aca="false">IF(AND(ISNUMBER(R21),ISNUMBER(S21)),(S21-R21)*24,0)</f>
        <v>0</v>
      </c>
      <c r="U21" s="109" t="n">
        <v>0.375</v>
      </c>
      <c r="V21" s="109" t="n">
        <v>0.645833333333333</v>
      </c>
      <c r="W21" s="110" t="n">
        <f aca="false">IF(AND(ISNUMBER(U21),ISNUMBER(V21)),(V21-U21)*24,0)</f>
        <v>6.5</v>
      </c>
      <c r="X21" s="109" t="s">
        <v>145</v>
      </c>
      <c r="Y21" s="109" t="s">
        <v>145</v>
      </c>
      <c r="Z21" s="110" t="n">
        <f aca="false">IF(AND(ISNUMBER(X21),ISNUMBER(Y21)),(Y21-X21)*24,0)</f>
        <v>0</v>
      </c>
      <c r="AA21" s="111" t="n">
        <f aca="false">H21+K21+N21+Q21+T21+W21+Z21</f>
        <v>32</v>
      </c>
      <c r="AB21" s="112" t="n">
        <f aca="false">AA21-C21</f>
        <v>2</v>
      </c>
      <c r="AC21" s="113" t="n">
        <f aca="false">(H21&gt;0)+(K21&gt;0)+(N21&gt;0)+(Q21&gt;0)+(T21&gt;0)+(W21&gt;0)+(Z21&gt;0)</f>
        <v>5</v>
      </c>
      <c r="AD21" s="103" t="str">
        <f aca="false">IF(OR(IF(ISNUMBER(G21)*ISNUMBER(I21),(I21+1-G21)*24&lt;Parametri!$B$65),IF(ISNUMBER(J21)*ISNUMBER(L21),(L21+1-J21)*24&lt;Parametri!$B$65),IF(ISNUMBER(M21)*ISNUMBER(O21),(O21+1-M21)*24&lt;Parametri!$B$65),IF(ISNUMBER(P21)*ISNUMBER(R21),(R21+1-P21)*24&lt;Parametri!$B$65),IF(ISNUMBER(S21)*ISNUMBER(U21),(U21+1-S21)*24&lt;Parametri!$B$65),IF(ISNUMBER(V21)*ISNUMBER(X21),(X21+1-V21)*24&lt;Parametri!$B$65),IF(ISNUMBER(Y21)*ISNUMBER(F21),(F21+1-Y21)*24&lt;Parametri!$B$65)),"KO","OK")</f>
        <v>OK</v>
      </c>
    </row>
    <row r="22" customFormat="false" ht="15" hidden="false" customHeight="true" outlineLevel="0" collapsed="false">
      <c r="A22" s="114" t="str">
        <f aca="false" t="array" ref="A22:A22">IFERROR(INDEX(Personale!$A$5:$A$40,SMALL(IF(Personale!$H$5:$H$40="",ROW(Personale!$A$5:$A$40)-ROW(Personale!$A$5)+1),18)),"")</f>
        <v>RIGONI</v>
      </c>
      <c r="B22" s="115" t="str">
        <f aca="false">IFERROR(VLOOKUP($A22,Personale!$A$5:$E$40,2,0),"")</f>
        <v>ADDETTO</v>
      </c>
      <c r="C22" s="116" t="n">
        <f aca="false">IFERROR(VLOOKUP($A22,Personale!$A$5:$E$40,3,0),0)</f>
        <v>25</v>
      </c>
      <c r="D22" s="116" t="n">
        <f aca="false">IFERROR(VLOOKUP($A22,Personale!$A$5:$E$40,4,0),0)</f>
        <v>5</v>
      </c>
      <c r="E22" s="117" t="n">
        <f aca="false">IFERROR(VLOOKUP($A22,Personale!$A$5:$E$40,5,0),0)</f>
        <v>5</v>
      </c>
      <c r="F22" s="109" t="n">
        <v>0.541666666666667</v>
      </c>
      <c r="G22" s="109" t="n">
        <v>0.791666666666667</v>
      </c>
      <c r="H22" s="110" t="n">
        <f aca="false">IF(AND(ISNUMBER(F22),ISNUMBER(G22)),(G22-F22)*24,0)</f>
        <v>6</v>
      </c>
      <c r="I22" s="109" t="n">
        <v>0.333333333333333</v>
      </c>
      <c r="J22" s="109" t="n">
        <v>0.5625</v>
      </c>
      <c r="K22" s="110" t="n">
        <f aca="false">IF(AND(ISNUMBER(I22),ISNUMBER(J22)),(J22-I22)*24,0)</f>
        <v>5.5</v>
      </c>
      <c r="L22" s="109" t="s">
        <v>145</v>
      </c>
      <c r="M22" s="109" t="s">
        <v>145</v>
      </c>
      <c r="N22" s="110" t="n">
        <f aca="false">IF(AND(ISNUMBER(L22),ISNUMBER(M22)),(M22-L22)*24,0)</f>
        <v>0</v>
      </c>
      <c r="O22" s="109" t="n">
        <v>0.625</v>
      </c>
      <c r="P22" s="109" t="n">
        <v>0.833333333333333</v>
      </c>
      <c r="Q22" s="110" t="n">
        <f aca="false">IF(AND(ISNUMBER(O22),ISNUMBER(P22)),(P22-O22)*24,0)</f>
        <v>5</v>
      </c>
      <c r="R22" s="109" t="n">
        <v>0.333333333333333</v>
      </c>
      <c r="S22" s="109" t="n">
        <v>0.583333333333333</v>
      </c>
      <c r="T22" s="110" t="n">
        <f aca="false">IF(AND(ISNUMBER(R22),ISNUMBER(S22)),(S22-R22)*24,0)</f>
        <v>6</v>
      </c>
      <c r="U22" s="109" t="s">
        <v>145</v>
      </c>
      <c r="V22" s="109" t="s">
        <v>145</v>
      </c>
      <c r="W22" s="110" t="n">
        <f aca="false">IF(AND(ISNUMBER(U22),ISNUMBER(V22)),(V22-U22)*24,0)</f>
        <v>0</v>
      </c>
      <c r="X22" s="109" t="n">
        <v>0.25</v>
      </c>
      <c r="Y22" s="109" t="n">
        <v>0.458333333333333</v>
      </c>
      <c r="Z22" s="110" t="n">
        <f aca="false">IF(AND(ISNUMBER(X22),ISNUMBER(Y22)),(Y22-X22)*24,0)</f>
        <v>5</v>
      </c>
      <c r="AA22" s="118" t="n">
        <f aca="false">H22+K22+N22+Q22+T22+W22+Z22</f>
        <v>27.5</v>
      </c>
      <c r="AB22" s="119" t="n">
        <f aca="false">AA22-C22</f>
        <v>2.5</v>
      </c>
      <c r="AC22" s="120" t="n">
        <f aca="false">(H22&gt;0)+(K22&gt;0)+(N22&gt;0)+(Q22&gt;0)+(T22&gt;0)+(W22&gt;0)+(Z22&gt;0)</f>
        <v>5</v>
      </c>
      <c r="AD22" s="57" t="str">
        <f aca="false">IF(OR(IF(ISNUMBER(G22)*ISNUMBER(I22),(I22+1-G22)*24&lt;Parametri!$B$65),IF(ISNUMBER(J22)*ISNUMBER(L22),(L22+1-J22)*24&lt;Parametri!$B$65),IF(ISNUMBER(M22)*ISNUMBER(O22),(O22+1-M22)*24&lt;Parametri!$B$65),IF(ISNUMBER(P22)*ISNUMBER(R22),(R22+1-P22)*24&lt;Parametri!$B$65),IF(ISNUMBER(S22)*ISNUMBER(U22),(U22+1-S22)*24&lt;Parametri!$B$65),IF(ISNUMBER(V22)*ISNUMBER(X22),(X22+1-V22)*24&lt;Parametri!$B$65),IF(ISNUMBER(Y22)*ISNUMBER(F22),(F22+1-Y22)*24&lt;Parametri!$B$65)),"KO","OK")</f>
        <v>OK</v>
      </c>
    </row>
    <row r="23" customFormat="false" ht="15" hidden="false" customHeight="true" outlineLevel="0" collapsed="false">
      <c r="A23" s="105" t="str">
        <f aca="false" t="array" ref="A23:A23">IFERROR(INDEX(Personale!$A$5:$A$40,SMALL(IF(Personale!$H$5:$H$40="",ROW(Personale!$A$5:$A$40)-ROW(Personale!$A$5)+1),19)),"")</f>
        <v>SCHENA</v>
      </c>
      <c r="B23" s="106" t="str">
        <f aca="false">IFERROR(VLOOKUP($A23,Personale!$A$5:$E$40,2,0),"")</f>
        <v>ADDETTO</v>
      </c>
      <c r="C23" s="107" t="n">
        <f aca="false">IFERROR(VLOOKUP($A23,Personale!$A$5:$E$40,3,0),0)</f>
        <v>20</v>
      </c>
      <c r="D23" s="107" t="n">
        <f aca="false">IFERROR(VLOOKUP($A23,Personale!$A$5:$E$40,4,0),0)</f>
        <v>5</v>
      </c>
      <c r="E23" s="108" t="n">
        <f aca="false">IFERROR(VLOOKUP($A23,Personale!$A$5:$E$40,5,0),0)</f>
        <v>4</v>
      </c>
      <c r="F23" s="109" t="n">
        <v>0.333333333333333</v>
      </c>
      <c r="G23" s="109" t="n">
        <v>0.541666666666667</v>
      </c>
      <c r="H23" s="110" t="n">
        <f aca="false">IF(AND(ISNUMBER(F23),ISNUMBER(G23)),(G23-F23)*24,0)</f>
        <v>5</v>
      </c>
      <c r="I23" s="109" t="n">
        <v>0.666666666666667</v>
      </c>
      <c r="J23" s="109" t="n">
        <v>0.875</v>
      </c>
      <c r="K23" s="110" t="n">
        <f aca="false">IF(AND(ISNUMBER(I23),ISNUMBER(J23)),(J23-I23)*24,0)</f>
        <v>5</v>
      </c>
      <c r="L23" s="109" t="n">
        <v>0.333333333333333</v>
      </c>
      <c r="M23" s="109" t="n">
        <v>0.520833333333333</v>
      </c>
      <c r="N23" s="110" t="n">
        <f aca="false">IF(AND(ISNUMBER(L23),ISNUMBER(M23)),(M23-L23)*24,0)</f>
        <v>4.5</v>
      </c>
      <c r="O23" s="109" t="n">
        <v>0.458333333333333</v>
      </c>
      <c r="P23" s="109" t="n">
        <v>0.625</v>
      </c>
      <c r="Q23" s="110" t="n">
        <f aca="false">IF(AND(ISNUMBER(O23),ISNUMBER(P23)),(P23-O23)*24,0)</f>
        <v>4</v>
      </c>
      <c r="R23" s="109" t="s">
        <v>145</v>
      </c>
      <c r="S23" s="109" t="s">
        <v>145</v>
      </c>
      <c r="T23" s="110" t="n">
        <f aca="false">IF(AND(ISNUMBER(R23),ISNUMBER(S23)),(S23-R23)*24,0)</f>
        <v>0</v>
      </c>
      <c r="U23" s="109" t="n">
        <v>0.333333333333333</v>
      </c>
      <c r="V23" s="109" t="n">
        <v>0.5</v>
      </c>
      <c r="W23" s="110" t="n">
        <f aca="false">IF(AND(ISNUMBER(U23),ISNUMBER(V23)),(V23-U23)*24,0)</f>
        <v>4</v>
      </c>
      <c r="X23" s="109" t="s">
        <v>145</v>
      </c>
      <c r="Y23" s="109" t="s">
        <v>145</v>
      </c>
      <c r="Z23" s="110" t="n">
        <f aca="false">IF(AND(ISNUMBER(X23),ISNUMBER(Y23)),(Y23-X23)*24,0)</f>
        <v>0</v>
      </c>
      <c r="AA23" s="111" t="n">
        <f aca="false">H23+K23+N23+Q23+T23+W23+Z23</f>
        <v>22.5</v>
      </c>
      <c r="AB23" s="112" t="n">
        <f aca="false">AA23-C23</f>
        <v>2.5</v>
      </c>
      <c r="AC23" s="113" t="n">
        <f aca="false">(H23&gt;0)+(K23&gt;0)+(N23&gt;0)+(Q23&gt;0)+(T23&gt;0)+(W23&gt;0)+(Z23&gt;0)</f>
        <v>5</v>
      </c>
      <c r="AD23" s="103" t="str">
        <f aca="false">IF(OR(IF(ISNUMBER(G23)*ISNUMBER(I23),(I23+1-G23)*24&lt;Parametri!$B$65),IF(ISNUMBER(J23)*ISNUMBER(L23),(L23+1-J23)*24&lt;Parametri!$B$65),IF(ISNUMBER(M23)*ISNUMBER(O23),(O23+1-M23)*24&lt;Parametri!$B$65),IF(ISNUMBER(P23)*ISNUMBER(R23),(R23+1-P23)*24&lt;Parametri!$B$65),IF(ISNUMBER(S23)*ISNUMBER(U23),(U23+1-S23)*24&lt;Parametri!$B$65),IF(ISNUMBER(V23)*ISNUMBER(X23),(X23+1-V23)*24&lt;Parametri!$B$65),IF(ISNUMBER(Y23)*ISNUMBER(F23),(F23+1-Y23)*24&lt;Parametri!$B$65)),"KO","OK")</f>
        <v>OK</v>
      </c>
    </row>
    <row r="24" customFormat="false" ht="15" hidden="false" customHeight="true" outlineLevel="0" collapsed="false">
      <c r="A24" s="114" t="str">
        <f aca="false" t="array" ref="A24:A24">IFERROR(INDEX(Personale!$A$5:$A$40,SMALL(IF(Personale!$H$5:$H$40="",ROW(Personale!$A$5:$A$40)-ROW(Personale!$A$5)+1),20)),"")</f>
        <v>TAMBURLIN</v>
      </c>
      <c r="B24" s="115" t="str">
        <f aca="false">IFERROR(VLOOKUP($A24,Personale!$A$5:$E$40,2,0),"")</f>
        <v>ADDETTO</v>
      </c>
      <c r="C24" s="116" t="n">
        <f aca="false">IFERROR(VLOOKUP($A24,Personale!$A$5:$E$40,3,0),0)</f>
        <v>8</v>
      </c>
      <c r="D24" s="116" t="n">
        <f aca="false">IFERROR(VLOOKUP($A24,Personale!$A$5:$E$40,4,0),0)</f>
        <v>1</v>
      </c>
      <c r="E24" s="117" t="n">
        <f aca="false">IFERROR(VLOOKUP($A24,Personale!$A$5:$E$40,5,0),0)</f>
        <v>8</v>
      </c>
      <c r="F24" s="109" t="s">
        <v>145</v>
      </c>
      <c r="G24" s="109" t="s">
        <v>145</v>
      </c>
      <c r="H24" s="110" t="n">
        <f aca="false">IF(AND(ISNUMBER(F24),ISNUMBER(G24)),(G24-F24)*24,0)</f>
        <v>0</v>
      </c>
      <c r="I24" s="109" t="s">
        <v>145</v>
      </c>
      <c r="J24" s="109" t="s">
        <v>145</v>
      </c>
      <c r="K24" s="110" t="n">
        <f aca="false">IF(AND(ISNUMBER(I24),ISNUMBER(J24)),(J24-I24)*24,0)</f>
        <v>0</v>
      </c>
      <c r="L24" s="109" t="s">
        <v>145</v>
      </c>
      <c r="M24" s="109" t="s">
        <v>145</v>
      </c>
      <c r="N24" s="110" t="n">
        <f aca="false">IF(AND(ISNUMBER(L24),ISNUMBER(M24)),(M24-L24)*24,0)</f>
        <v>0</v>
      </c>
      <c r="O24" s="109" t="s">
        <v>145</v>
      </c>
      <c r="P24" s="109" t="s">
        <v>145</v>
      </c>
      <c r="Q24" s="110" t="n">
        <f aca="false">IF(AND(ISNUMBER(O24),ISNUMBER(P24)),(P24-O24)*24,0)</f>
        <v>0</v>
      </c>
      <c r="R24" s="109" t="s">
        <v>145</v>
      </c>
      <c r="S24" s="109" t="s">
        <v>145</v>
      </c>
      <c r="T24" s="110" t="n">
        <f aca="false">IF(AND(ISNUMBER(R24),ISNUMBER(S24)),(S24-R24)*24,0)</f>
        <v>0</v>
      </c>
      <c r="U24" s="109" t="n">
        <v>0.395833333333333</v>
      </c>
      <c r="V24" s="109" t="n">
        <v>0.770833333333333</v>
      </c>
      <c r="W24" s="110" t="n">
        <f aca="false">IF(AND(ISNUMBER(U24),ISNUMBER(V24)),(V24-U24)*24,0)</f>
        <v>9</v>
      </c>
      <c r="X24" s="109" t="s">
        <v>145</v>
      </c>
      <c r="Y24" s="109" t="s">
        <v>145</v>
      </c>
      <c r="Z24" s="110" t="n">
        <f aca="false">IF(AND(ISNUMBER(X24),ISNUMBER(Y24)),(Y24-X24)*24,0)</f>
        <v>0</v>
      </c>
      <c r="AA24" s="118" t="n">
        <f aca="false">H24+K24+N24+Q24+T24+W24+Z24</f>
        <v>9</v>
      </c>
      <c r="AB24" s="119" t="n">
        <f aca="false">AA24-C24</f>
        <v>1</v>
      </c>
      <c r="AC24" s="120" t="n">
        <f aca="false">(H24&gt;0)+(K24&gt;0)+(N24&gt;0)+(Q24&gt;0)+(T24&gt;0)+(W24&gt;0)+(Z24&gt;0)</f>
        <v>1</v>
      </c>
      <c r="AD24" s="57" t="str">
        <f aca="false">IF(OR(IF(ISNUMBER(G24)*ISNUMBER(I24),(I24+1-G24)*24&lt;Parametri!$B$65),IF(ISNUMBER(J24)*ISNUMBER(L24),(L24+1-J24)*24&lt;Parametri!$B$65),IF(ISNUMBER(M24)*ISNUMBER(O24),(O24+1-M24)*24&lt;Parametri!$B$65),IF(ISNUMBER(P24)*ISNUMBER(R24),(R24+1-P24)*24&lt;Parametri!$B$65),IF(ISNUMBER(S24)*ISNUMBER(U24),(U24+1-S24)*24&lt;Parametri!$B$65),IF(ISNUMBER(V24)*ISNUMBER(X24),(X24+1-V24)*24&lt;Parametri!$B$65),IF(ISNUMBER(Y24)*ISNUMBER(F24),(F24+1-Y24)*24&lt;Parametri!$B$65)),"KO","OK")</f>
        <v>OK</v>
      </c>
    </row>
    <row r="25" customFormat="false" ht="15" hidden="false" customHeight="true" outlineLevel="0" collapsed="false">
      <c r="A25" s="114" t="str">
        <f aca="false" t="array" ref="A25:A25">IFERROR(INDEX(Personale!$A$5:$A$40,SMALL(IF(Personale!$H$5:$H$40="",ROW(Personale!$A$5:$A$40)-ROW(Personale!$A$5)+1),21)),"")</f>
        <v>FRANCESCON</v>
      </c>
      <c r="B25" s="115" t="str">
        <f aca="false">IFERROR(VLOOKUP($A25,Personale!$A$5:$E$40,2,0),"")</f>
        <v>ADDETTO</v>
      </c>
      <c r="C25" s="116" t="n">
        <f aca="false">IFERROR(VLOOKUP($A25,Personale!$A$5:$E$40,3,0),0)</f>
        <v>8</v>
      </c>
      <c r="D25" s="116" t="n">
        <f aca="false">IFERROR(VLOOKUP($A25,Personale!$A$5:$E$40,4,0),0)</f>
        <v>1</v>
      </c>
      <c r="E25" s="117" t="n">
        <f aca="false">IFERROR(VLOOKUP($A25,Personale!$A$5:$E$40,5,0),0)</f>
        <v>8</v>
      </c>
      <c r="F25" s="109" t="s">
        <v>145</v>
      </c>
      <c r="G25" s="109" t="s">
        <v>145</v>
      </c>
      <c r="H25" s="110" t="n">
        <f aca="false">IF(AND(ISNUMBER(F25),ISNUMBER(G25)),(G25-F25)*24,0)</f>
        <v>0</v>
      </c>
      <c r="I25" s="109" t="s">
        <v>145</v>
      </c>
      <c r="J25" s="109" t="s">
        <v>145</v>
      </c>
      <c r="K25" s="110" t="n">
        <f aca="false">IF(AND(ISNUMBER(I25),ISNUMBER(J25)),(J25-I25)*24,0)</f>
        <v>0</v>
      </c>
      <c r="L25" s="109" t="s">
        <v>145</v>
      </c>
      <c r="M25" s="109" t="s">
        <v>145</v>
      </c>
      <c r="N25" s="110" t="n">
        <f aca="false">IF(AND(ISNUMBER(L25),ISNUMBER(M25)),(M25-L25)*24,0)</f>
        <v>0</v>
      </c>
      <c r="O25" s="109" t="s">
        <v>145</v>
      </c>
      <c r="P25" s="109" t="s">
        <v>145</v>
      </c>
      <c r="Q25" s="110" t="n">
        <f aca="false">IF(AND(ISNUMBER(O25),ISNUMBER(P25)),(P25-O25)*24,0)</f>
        <v>0</v>
      </c>
      <c r="R25" s="109" t="s">
        <v>145</v>
      </c>
      <c r="S25" s="109" t="s">
        <v>145</v>
      </c>
      <c r="T25" s="110" t="n">
        <f aca="false">IF(AND(ISNUMBER(R25),ISNUMBER(S25)),(S25-R25)*24,0)</f>
        <v>0</v>
      </c>
      <c r="U25" s="109" t="n">
        <v>0.229166666666667</v>
      </c>
      <c r="V25" s="109" t="n">
        <v>0.604166666666667</v>
      </c>
      <c r="W25" s="110" t="n">
        <f aca="false">IF(AND(ISNUMBER(U25),ISNUMBER(V25)),(V25-U25)*24,0)</f>
        <v>9</v>
      </c>
      <c r="X25" s="109" t="s">
        <v>145</v>
      </c>
      <c r="Y25" s="109" t="s">
        <v>145</v>
      </c>
      <c r="Z25" s="110" t="n">
        <f aca="false">IF(AND(ISNUMBER(X25),ISNUMBER(Y25)),(Y25-X25)*24,0)</f>
        <v>0</v>
      </c>
      <c r="AA25" s="118" t="n">
        <f aca="false">H25+K25+N25+Q25+T25+W25+Z25</f>
        <v>9</v>
      </c>
      <c r="AB25" s="119" t="n">
        <f aca="false">AA25-C25</f>
        <v>1</v>
      </c>
      <c r="AC25" s="120" t="n">
        <f aca="false">(H25&gt;0)+(K25&gt;0)+(N25&gt;0)+(Q25&gt;0)+(T25&gt;0)+(W25&gt;0)+(Z25&gt;0)</f>
        <v>1</v>
      </c>
      <c r="AD25" s="57" t="str">
        <f aca="false">IF(OR(IF(ISNUMBER(G25)*ISNUMBER(I25),(I25+1-G25)*24&lt;Parametri!$B$65),IF(ISNUMBER(J25)*ISNUMBER(L25),(L25+1-J25)*24&lt;Parametri!$B$65),IF(ISNUMBER(M25)*ISNUMBER(O25),(O25+1-M25)*24&lt;Parametri!$B$65),IF(ISNUMBER(P25)*ISNUMBER(R25),(R25+1-P25)*24&lt;Parametri!$B$65),IF(ISNUMBER(S25)*ISNUMBER(U25),(U25+1-S25)*24&lt;Parametri!$B$65),IF(ISNUMBER(V25)*ISNUMBER(X25),(X25+1-V25)*24&lt;Parametri!$B$65),IF(ISNUMBER(Y25)*ISNUMBER(F25),(F25+1-Y25)*24&lt;Parametri!$B$65)),"KO","OK")</f>
        <v>OK</v>
      </c>
    </row>
    <row r="26" customFormat="false" ht="15" hidden="false" customHeight="true" outlineLevel="0" collapsed="false">
      <c r="A26" s="105" t="n">
        <f aca="false">IFERROR(INDEX(Personale!$A$5:$A$40,SMALL(IF(Personale!$H$5:$H$40="",ROW(Personale!$A$5:$A$40)-ROW(Personale!$A$5)+1),22)),"")</f>
        <v>0</v>
      </c>
      <c r="B26" s="106" t="str">
        <f aca="false">IFERROR(VLOOKUP($A26,Personale!$A$5:$E$40,2,0),"")</f>
        <v/>
      </c>
      <c r="C26" s="107" t="n">
        <f aca="false">IFERROR(VLOOKUP($A26,Personale!$A$5:$E$40,3,0),0)</f>
        <v>0</v>
      </c>
      <c r="D26" s="107" t="n">
        <f aca="false">IFERROR(VLOOKUP($A26,Personale!$A$5:$E$40,4,0),0)</f>
        <v>0</v>
      </c>
      <c r="E26" s="108" t="n">
        <f aca="false">IFERROR(VLOOKUP($A26,Personale!$A$5:$E$40,5,0),0)</f>
        <v>0</v>
      </c>
      <c r="F26" s="109" t="s">
        <v>145</v>
      </c>
      <c r="G26" s="109" t="s">
        <v>145</v>
      </c>
      <c r="H26" s="110" t="n">
        <f aca="false">IF(AND(ISNUMBER(F26),ISNUMBER(G26)),(G26-F26)*24,0)</f>
        <v>0</v>
      </c>
      <c r="I26" s="109" t="s">
        <v>145</v>
      </c>
      <c r="J26" s="109" t="s">
        <v>145</v>
      </c>
      <c r="K26" s="110" t="n">
        <f aca="false">IF(AND(ISNUMBER(I26),ISNUMBER(J26)),(J26-I26)*24,0)</f>
        <v>0</v>
      </c>
      <c r="L26" s="109" t="s">
        <v>145</v>
      </c>
      <c r="M26" s="109" t="s">
        <v>145</v>
      </c>
      <c r="N26" s="110" t="n">
        <f aca="false">IF(AND(ISNUMBER(L26),ISNUMBER(M26)),(M26-L26)*24,0)</f>
        <v>0</v>
      </c>
      <c r="O26" s="109" t="s">
        <v>145</v>
      </c>
      <c r="P26" s="109" t="s">
        <v>145</v>
      </c>
      <c r="Q26" s="110" t="n">
        <f aca="false">IF(AND(ISNUMBER(O26),ISNUMBER(P26)),(P26-O26)*24,0)</f>
        <v>0</v>
      </c>
      <c r="R26" s="109" t="s">
        <v>145</v>
      </c>
      <c r="S26" s="109" t="s">
        <v>145</v>
      </c>
      <c r="T26" s="110" t="n">
        <f aca="false">IF(AND(ISNUMBER(R26),ISNUMBER(S26)),(S26-R26)*24,0)</f>
        <v>0</v>
      </c>
      <c r="U26" s="109" t="s">
        <v>145</v>
      </c>
      <c r="V26" s="109" t="s">
        <v>145</v>
      </c>
      <c r="W26" s="110" t="n">
        <f aca="false">IF(AND(ISNUMBER(U26),ISNUMBER(V26)),(V26-U26)*24,0)</f>
        <v>0</v>
      </c>
      <c r="X26" s="109" t="s">
        <v>145</v>
      </c>
      <c r="Y26" s="109" t="s">
        <v>145</v>
      </c>
      <c r="Z26" s="110" t="n">
        <f aca="false">IF(AND(ISNUMBER(X26),ISNUMBER(Y26)),(Y26-X26)*24,0)</f>
        <v>0</v>
      </c>
      <c r="AA26" s="111" t="n">
        <f aca="false">H26+K26+N26+Q26+T26+W26+Z26</f>
        <v>0</v>
      </c>
      <c r="AB26" s="112" t="n">
        <f aca="false">AA26-C26</f>
        <v>0</v>
      </c>
      <c r="AC26" s="113" t="n">
        <f aca="false">(H26&gt;0)+(K26&gt;0)+(N26&gt;0)+(Q26&gt;0)+(T26&gt;0)+(W26&gt;0)+(Z26&gt;0)</f>
        <v>0</v>
      </c>
      <c r="AD26" s="103" t="str">
        <f aca="false">IF(OR(IF(ISNUMBER(G26)*ISNUMBER(I26),(I26+1-G26)*24&lt;Parametri!$B$65),IF(ISNUMBER(J26)*ISNUMBER(L26),(L26+1-J26)*24&lt;Parametri!$B$65),IF(ISNUMBER(M26)*ISNUMBER(O26),(O26+1-M26)*24&lt;Parametri!$B$65),IF(ISNUMBER(P26)*ISNUMBER(R26),(R26+1-P26)*24&lt;Parametri!$B$65),IF(ISNUMBER(S26)*ISNUMBER(U26),(U26+1-S26)*24&lt;Parametri!$B$65),IF(ISNUMBER(V26)*ISNUMBER(X26),(X26+1-V26)*24&lt;Parametri!$B$65),IF(ISNUMBER(Y26)*ISNUMBER(F26),(F26+1-Y26)*24&lt;Parametri!$B$65)),"KO","OK")</f>
        <v>OK</v>
      </c>
    </row>
    <row r="27" customFormat="false" ht="15" hidden="false" customHeight="true" outlineLevel="0" collapsed="false">
      <c r="A27" s="114" t="str">
        <f aca="false">Personale!A41</f>
        <v>Totale</v>
      </c>
      <c r="B27" s="115" t="str">
        <f aca="false">Personale!B41</f>
        <v>26 teste</v>
      </c>
      <c r="C27" s="116" t="n">
        <f aca="false">Personale!C41</f>
        <v>504</v>
      </c>
      <c r="D27" s="116" t="n">
        <f aca="false">Personale!D41</f>
        <v>0</v>
      </c>
      <c r="E27" s="117" t="n">
        <f aca="false">Personale!E41</f>
        <v>0</v>
      </c>
      <c r="F27" s="109"/>
      <c r="G27" s="109"/>
      <c r="I27" s="109"/>
      <c r="J27" s="109"/>
      <c r="L27" s="109"/>
      <c r="M27" s="109"/>
      <c r="O27" s="109"/>
      <c r="P27" s="109"/>
      <c r="R27" s="109"/>
      <c r="S27" s="109"/>
      <c r="U27" s="109"/>
      <c r="V27" s="109"/>
      <c r="X27" s="109"/>
      <c r="Y27" s="109"/>
    </row>
    <row r="28" customFormat="false" ht="15" hidden="false" customHeight="true" outlineLevel="0" collapsed="false">
      <c r="A28" s="105"/>
      <c r="B28" s="106"/>
      <c r="C28" s="107"/>
      <c r="D28" s="107"/>
      <c r="E28" s="108"/>
      <c r="F28" s="109"/>
      <c r="G28" s="109"/>
      <c r="I28" s="109"/>
      <c r="J28" s="109"/>
      <c r="L28" s="109"/>
      <c r="M28" s="109"/>
      <c r="O28" s="109"/>
      <c r="P28" s="109"/>
      <c r="R28" s="109"/>
      <c r="S28" s="109"/>
      <c r="U28" s="109"/>
      <c r="V28" s="109"/>
      <c r="X28" s="109"/>
      <c r="Y28" s="109"/>
    </row>
    <row r="29" customFormat="false" ht="19.5" hidden="false" customHeight="true" outlineLevel="0" collapsed="false">
      <c r="A29" s="33" t="s">
        <v>146</v>
      </c>
      <c r="B29" s="33"/>
      <c r="C29" s="33"/>
      <c r="D29" s="33"/>
      <c r="E29" s="33"/>
      <c r="F29" s="33"/>
      <c r="G29" s="33"/>
      <c r="H29" s="33"/>
      <c r="I29" s="33"/>
    </row>
    <row r="30" customFormat="false" ht="15" hidden="false" customHeight="true" outlineLevel="0" collapsed="false">
      <c r="A30" s="48" t="s">
        <v>147</v>
      </c>
      <c r="B30" s="48" t="s">
        <v>8</v>
      </c>
      <c r="C30" s="48" t="s">
        <v>9</v>
      </c>
      <c r="D30" s="48" t="s">
        <v>10</v>
      </c>
      <c r="E30" s="48" t="s">
        <v>11</v>
      </c>
      <c r="F30" s="48" t="s">
        <v>12</v>
      </c>
      <c r="G30" s="48" t="s">
        <v>13</v>
      </c>
      <c r="H30" s="48" t="s">
        <v>14</v>
      </c>
      <c r="I30" s="48" t="s">
        <v>142</v>
      </c>
    </row>
    <row r="31" customFormat="false" ht="15" hidden="false" customHeight="true" outlineLevel="0" collapsed="false">
      <c r="A31" s="100" t="s">
        <v>148</v>
      </c>
      <c r="B31" s="88" t="n">
        <f aca="false">SUM(H5:H27)</f>
        <v>86</v>
      </c>
      <c r="C31" s="88" t="n">
        <f aca="false">SUM(K5:K27)</f>
        <v>69</v>
      </c>
      <c r="D31" s="88" t="n">
        <f aca="false">SUM(N5:N27)</f>
        <v>71.5</v>
      </c>
      <c r="E31" s="88" t="n">
        <f aca="false">SUM(Q5:Q27)</f>
        <v>82.5</v>
      </c>
      <c r="F31" s="88" t="n">
        <f aca="false">SUM(T5:T27)</f>
        <v>79</v>
      </c>
      <c r="G31" s="88" t="n">
        <f aca="false">SUM(W5:W27)</f>
        <v>94</v>
      </c>
      <c r="H31" s="88" t="n">
        <f aca="false">SUM(Z5:Z27)</f>
        <v>70.5</v>
      </c>
      <c r="I31" s="88" t="n">
        <f aca="false">SUM(B31:H31)</f>
        <v>552.5</v>
      </c>
    </row>
    <row r="32" customFormat="false" ht="15" hidden="false" customHeight="true" outlineLevel="0" collapsed="false">
      <c r="A32" s="121" t="s">
        <v>149</v>
      </c>
      <c r="B32" s="81" t="n">
        <f aca="false">SUMPRODUCT(--(H5:H27&gt;0))</f>
        <v>16</v>
      </c>
      <c r="C32" s="81" t="n">
        <f aca="false">SUMPRODUCT(--(K5:K27&gt;0))</f>
        <v>12</v>
      </c>
      <c r="D32" s="81" t="n">
        <f aca="false">SUMPRODUCT(--(N5:N27&gt;0))</f>
        <v>13</v>
      </c>
      <c r="E32" s="81" t="n">
        <f aca="false">SUMPRODUCT(--(Q5:Q27&gt;0))</f>
        <v>15</v>
      </c>
      <c r="F32" s="81" t="n">
        <f aca="false">SUMPRODUCT(--(T5:T27&gt;0))</f>
        <v>14</v>
      </c>
      <c r="G32" s="81" t="n">
        <f aca="false">SUMPRODUCT(--(W5:W27&gt;0))</f>
        <v>17</v>
      </c>
      <c r="H32" s="81" t="n">
        <f aca="false">SUMPRODUCT(--(Z5:Z27&gt;0))</f>
        <v>12</v>
      </c>
      <c r="I32" s="81" t="n">
        <f aca="false">SUM(B32:H32)</f>
        <v>99</v>
      </c>
    </row>
    <row r="33" customFormat="false" ht="15" hidden="false" customHeight="true" outlineLevel="0" collapsed="false">
      <c r="A33" s="100" t="s">
        <v>150</v>
      </c>
      <c r="B33" s="122" t="n">
        <f aca="false">COUNTIF(F5:F27,Parametri!B$63)</f>
        <v>5</v>
      </c>
      <c r="C33" s="122" t="n">
        <f aca="false">COUNTIF(I5:I27,Parametri!C$63)</f>
        <v>4</v>
      </c>
      <c r="D33" s="122" t="n">
        <f aca="false">COUNTIF(L5:L27,Parametri!D$63)</f>
        <v>4</v>
      </c>
      <c r="E33" s="122" t="n">
        <f aca="false">COUNTIF(O5:O27,Parametri!E$63)</f>
        <v>5</v>
      </c>
      <c r="F33" s="122" t="n">
        <f aca="false">COUNTIF(R5:R27,Parametri!F$63)</f>
        <v>4</v>
      </c>
      <c r="G33" s="122" t="n">
        <f aca="false">COUNTIF(U5:U27,Parametri!G$63)</f>
        <v>5</v>
      </c>
      <c r="H33" s="122" t="n">
        <f aca="false">COUNTIF(X5:X27,Parametri!H$63)</f>
        <v>4</v>
      </c>
      <c r="I33" s="122"/>
    </row>
    <row r="34" customFormat="false" ht="15" hidden="false" customHeight="true" outlineLevel="0" collapsed="false">
      <c r="A34" s="121" t="s">
        <v>151</v>
      </c>
      <c r="B34" s="81" t="n">
        <f aca="false">COUNTIF(G5:G27,Parametri!B$64)</f>
        <v>3</v>
      </c>
      <c r="C34" s="81" t="n">
        <f aca="false">COUNTIF(J5:J27,Parametri!C$64)</f>
        <v>2</v>
      </c>
      <c r="D34" s="81" t="n">
        <f aca="false">COUNTIF(M5:M27,Parametri!D$64)</f>
        <v>2</v>
      </c>
      <c r="E34" s="81" t="n">
        <f aca="false">COUNTIF(P5:P27,Parametri!E$64)</f>
        <v>3</v>
      </c>
      <c r="F34" s="81" t="n">
        <f aca="false">COUNTIF(S5:S27,Parametri!F$64)</f>
        <v>3</v>
      </c>
      <c r="G34" s="81" t="n">
        <f aca="false">COUNTIF(V5:V27,Parametri!G$64)</f>
        <v>3</v>
      </c>
      <c r="H34" s="81" t="n">
        <f aca="false">COUNTIF(Y5:Y27,Parametri!H$64)</f>
        <v>3</v>
      </c>
      <c r="I34" s="81"/>
    </row>
    <row r="35" customFormat="false" ht="15" hidden="false" customHeight="true" outlineLevel="0" collapsed="false">
      <c r="A35" s="100" t="s">
        <v>97</v>
      </c>
      <c r="B35" s="122" t="n">
        <f aca="false">COUNTIF(F5:F27,"R")</f>
        <v>6</v>
      </c>
      <c r="C35" s="122" t="n">
        <f aca="false">COUNTIF(I5:I27,"R")</f>
        <v>10</v>
      </c>
      <c r="D35" s="122" t="n">
        <f aca="false">COUNTIF(L5:L27,"R")</f>
        <v>9</v>
      </c>
      <c r="E35" s="122" t="n">
        <f aca="false">COUNTIF(O5:O27,"R")</f>
        <v>7</v>
      </c>
      <c r="F35" s="122" t="n">
        <f aca="false">COUNTIF(R5:R27,"R")</f>
        <v>8</v>
      </c>
      <c r="G35" s="122" t="n">
        <f aca="false">COUNTIF(U5:U27,"R")</f>
        <v>5</v>
      </c>
      <c r="H35" s="122" t="n">
        <f aca="false">COUNTIF(X5:X27,"R")</f>
        <v>10</v>
      </c>
      <c r="I35" s="122" t="n">
        <f aca="false">SUM(B35:H35)</f>
        <v>55</v>
      </c>
    </row>
    <row r="36" customFormat="false" ht="15" hidden="false" customHeight="true" outlineLevel="0" collapsed="false">
      <c r="A36" s="123" t="s">
        <v>152</v>
      </c>
      <c r="B36" s="124" t="str">
        <f aca="false">IF(AND(B33&gt;=Parametri!$B$67,B34&gt;=Parametri!$B$68),"OK","KO")</f>
        <v>OK</v>
      </c>
      <c r="C36" s="124" t="str">
        <f aca="false">IF(AND(C33&gt;=Parametri!$B$67,C34&gt;=Parametri!$B$68),"OK","KO")</f>
        <v>OK</v>
      </c>
      <c r="D36" s="124" t="str">
        <f aca="false">IF(AND(D33&gt;=Parametri!$B$67,D34&gt;=Parametri!$B$68),"OK","KO")</f>
        <v>OK</v>
      </c>
      <c r="E36" s="124" t="str">
        <f aca="false">IF(AND(E33&gt;=Parametri!$B$67,E34&gt;=Parametri!$B$68),"OK","KO")</f>
        <v>OK</v>
      </c>
      <c r="F36" s="124" t="str">
        <f aca="false">IF(AND(F33&gt;=Parametri!$B$67,F34&gt;=Parametri!$B$68),"OK","KO")</f>
        <v>OK</v>
      </c>
      <c r="G36" s="124" t="str">
        <f aca="false">IF(AND(G33&gt;=Parametri!$B$67,G34&gt;=Parametri!$B$68),"OK","KO")</f>
        <v>OK</v>
      </c>
      <c r="H36" s="124" t="str">
        <f aca="false">IF(AND(H33&gt;=Parametri!$B$67,H34&gt;=Parametri!$B$68),"OK","KO")</f>
        <v>OK</v>
      </c>
      <c r="I36" s="125"/>
    </row>
    <row r="37" customFormat="false" ht="15" hidden="false" customHeight="true" outlineLevel="0" collapsed="false">
      <c r="A37" s="126" t="s">
        <v>153</v>
      </c>
      <c r="B37" s="127" t="n">
        <f aca="false">SUMPRODUCT((COUNTIF(F$5:F$27,F5:F27)=1)*ISNUMBER(F5:F27))</f>
        <v>5</v>
      </c>
      <c r="C37" s="127" t="n">
        <f aca="false">SUMPRODUCT((COUNTIF(I$5:I$27,I5:I27)=1)*ISNUMBER(I5:I27))</f>
        <v>8</v>
      </c>
      <c r="D37" s="127" t="n">
        <f aca="false">SUMPRODUCT((COUNTIF(L$5:L$27,L5:L27)=1)*ISNUMBER(L5:L27))</f>
        <v>9</v>
      </c>
      <c r="E37" s="127" t="n">
        <f aca="false">SUMPRODUCT((COUNTIF(O$5:O$27,O5:O27)=1)*ISNUMBER(O5:O27))</f>
        <v>8</v>
      </c>
      <c r="F37" s="127" t="n">
        <f aca="false">SUMPRODUCT((COUNTIF(R$5:R$27,R5:R27)=1)*ISNUMBER(R5:R27))</f>
        <v>5</v>
      </c>
      <c r="G37" s="127" t="n">
        <f aca="false">SUMPRODUCT((COUNTIF(U$5:U$27,U5:U27)=1)*ISNUMBER(U5:U27))</f>
        <v>8</v>
      </c>
      <c r="H37" s="127" t="n">
        <f aca="false">SUMPRODUCT((COUNTIF(X$5:X$27,X5:X27)=1)*ISNUMBER(X5:X27))</f>
        <v>8</v>
      </c>
    </row>
    <row r="38" customFormat="false" ht="15" hidden="false" customHeight="true" outlineLevel="0" collapsed="false">
      <c r="A38" s="126" t="s">
        <v>154</v>
      </c>
      <c r="B38" s="127" t="n">
        <f aca="false">SUMPRODUCT((COUNTIF(G$5:G$27,G5:G27)=1)*ISNUMBER(G5:G27))</f>
        <v>6</v>
      </c>
      <c r="C38" s="127" t="n">
        <f aca="false">SUMPRODUCT((COUNTIF(J$5:J$27,J5:J27)=1)*ISNUMBER(J5:J27))</f>
        <v>10</v>
      </c>
      <c r="D38" s="127" t="n">
        <f aca="false">SUMPRODUCT((COUNTIF(M$5:M$27,M5:M27)=1)*ISNUMBER(M5:M27))</f>
        <v>11</v>
      </c>
      <c r="E38" s="127" t="n">
        <f aca="false">SUMPRODUCT((COUNTIF(P$5:P$27,P5:P27)=1)*ISNUMBER(P5:P27))</f>
        <v>8</v>
      </c>
      <c r="F38" s="127" t="n">
        <f aca="false">SUMPRODUCT((COUNTIF(S$5:S$27,S5:S27)=1)*ISNUMBER(S5:S27))</f>
        <v>5</v>
      </c>
      <c r="G38" s="127" t="n">
        <f aca="false">SUMPRODUCT((COUNTIF(V$5:V$27,V5:V27)=1)*ISNUMBER(V5:V27))</f>
        <v>10</v>
      </c>
      <c r="H38" s="127" t="n">
        <f aca="false">SUMPRODUCT((COUNTIF(Y$5:Y$27,Y5:Y27)=1)*ISNUMBER(Y5:Y27))</f>
        <v>9</v>
      </c>
    </row>
    <row r="39" customFormat="false" ht="15" hidden="false" customHeight="true" outlineLevel="0" collapsed="false">
      <c r="A39" s="38" t="s">
        <v>155</v>
      </c>
    </row>
    <row r="1048576" customFormat="false" ht="12.75" hidden="false" customHeight="true" outlineLevel="0" collapsed="false"/>
  </sheetData>
  <mergeCells count="9">
    <mergeCell ref="A1:AD1"/>
    <mergeCell ref="F3:H3"/>
    <mergeCell ref="I3:K3"/>
    <mergeCell ref="L3:N3"/>
    <mergeCell ref="O3:Q3"/>
    <mergeCell ref="R3:T3"/>
    <mergeCell ref="U3:W3"/>
    <mergeCell ref="X3:Z3"/>
    <mergeCell ref="A29:I29"/>
  </mergeCells>
  <conditionalFormatting sqref="AB5:AB26">
    <cfRule type="expression" priority="2" aboveAverage="0" equalAverage="0" bottom="0" percent="0" rank="0" text="" dxfId="4">
      <formula>ABS(AB5)&gt;0.05</formula>
    </cfRule>
  </conditionalFormatting>
  <conditionalFormatting sqref="AD5:AD26">
    <cfRule type="expression" priority="3" aboveAverage="0" equalAverage="0" bottom="0" percent="0" rank="0" text="" dxfId="4">
      <formula>OR(ISNUMBER(SEARCH("IN LINEA",AD5)),ISNUMBER(SEARCH("OK",AD5)))</formula>
    </cfRule>
    <cfRule type="expression" priority="4" aboveAverage="0" equalAverage="0" bottom="0" percent="0" rank="0" text="" dxfId="4">
      <formula>ISNUMBER(SEARCH("SOTTO",AD5))</formula>
    </cfRule>
    <cfRule type="expression" priority="5" aboveAverage="0" equalAverage="0" bottom="0" percent="0" rank="0" text="" dxfId="4">
      <formula>OR(ISNUMBER(SEARCH("SOPRA",AD5)),ISNUMBER(SEARCH("OLTRE",AD5)),ISNUMBER(SEARCH("KO",AD5)),ISNUMBER(SEARCH("NO RESP",AD5)),ISNUMBER(SEARCH("ANOMAL",AD5)))</formula>
    </cfRule>
  </conditionalFormatting>
  <conditionalFormatting sqref="B36:H36">
    <cfRule type="expression" priority="6" aboveAverage="0" equalAverage="0" bottom="0" percent="0" rank="0" text="" dxfId="4">
      <formula>OR(ISNUMBER(SEARCH("IN LINEA",B36)),ISNUMBER(SEARCH("OK",B36)))</formula>
    </cfRule>
    <cfRule type="expression" priority="7" aboveAverage="0" equalAverage="0" bottom="0" percent="0" rank="0" text="" dxfId="4">
      <formula>ISNUMBER(SEARCH("SOTTO",B36))</formula>
    </cfRule>
    <cfRule type="expression" priority="8" aboveAverage="0" equalAverage="0" bottom="0" percent="0" rank="0" text="" dxfId="4">
      <formula>OR(ISNUMBER(SEARCH("SOPRA",B36)),ISNUMBER(SEARCH("OLTRE",B36)),ISNUMBER(SEARCH("KO",B36)),ISNUMBER(SEARCH("NO RESP",B36)),ISNUMBER(SEARCH("ANOMAL",B36)))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true"/>
  </sheetPr>
  <dimension ref="A1:AE73"/>
  <sheetViews>
    <sheetView showFormulas="false" showGridLines="false" showRowColHeaders="true" showZeros="true" rightToLeft="false" tabSelected="false" showOutlineSymbols="true" defaultGridColor="true" view="normal" topLeftCell="R1" colorId="64" zoomScale="90" zoomScaleNormal="90" zoomScalePageLayoutView="100" workbookViewId="0">
      <selection pane="topLeft" activeCell="AD46" activeCellId="0" sqref="AD46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"/>
    <col collapsed="false" customWidth="true" hidden="false" outlineLevel="0" max="5" min="3" style="1" width="5.4"/>
    <col collapsed="false" customWidth="true" hidden="false" outlineLevel="0" max="6" min="6" style="1" width="8.33"/>
    <col collapsed="false" customWidth="true" hidden="false" outlineLevel="0" max="9" min="7" style="1" width="5.4"/>
    <col collapsed="false" customWidth="true" hidden="false" outlineLevel="0" max="10" min="10" style="1" width="7.94"/>
    <col collapsed="false" customWidth="true" hidden="false" outlineLevel="0" max="13" min="11" style="1" width="5.4"/>
    <col collapsed="false" customWidth="true" hidden="false" outlineLevel="0" max="14" min="14" style="1" width="8.33"/>
    <col collapsed="false" customWidth="true" hidden="false" outlineLevel="0" max="17" min="15" style="1" width="5.4"/>
    <col collapsed="false" customWidth="true" hidden="false" outlineLevel="0" max="18" min="18" style="1" width="8.33"/>
    <col collapsed="false" customWidth="true" hidden="false" outlineLevel="0" max="21" min="19" style="1" width="5.4"/>
    <col collapsed="false" customWidth="true" hidden="false" outlineLevel="0" max="22" min="22" style="1" width="8.33"/>
    <col collapsed="false" customWidth="true" hidden="false" outlineLevel="0" max="25" min="23" style="1" width="5.4"/>
    <col collapsed="false" customWidth="true" hidden="false" outlineLevel="0" max="26" min="26" style="1" width="8.33"/>
    <col collapsed="false" customWidth="true" hidden="false" outlineLevel="0" max="29" min="27" style="1" width="5.4"/>
    <col collapsed="false" customWidth="true" hidden="false" outlineLevel="0" max="30" min="30" style="1" width="8.33"/>
    <col collapsed="false" customWidth="true" hidden="false" outlineLevel="0" max="31" min="31" style="1" width="7"/>
    <col collapsed="false" customWidth="true" hidden="false" outlineLevel="0" max="1025" min="32" style="1" width="8.67"/>
  </cols>
  <sheetData>
    <row r="1" customFormat="false" ht="25.5" hidden="false" customHeight="true" outlineLevel="0" collapsed="false">
      <c r="A1" s="82" t="s">
        <v>156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 customFormat="false" ht="15" hidden="false" customHeight="true" outlineLevel="0" collapsed="false">
      <c r="A2" s="38" t="s">
        <v>157</v>
      </c>
    </row>
    <row r="3" customFormat="false" ht="15" hidden="false" customHeight="true" outlineLevel="0" collapsed="false">
      <c r="A3" s="128"/>
      <c r="C3" s="104" t="s">
        <v>8</v>
      </c>
      <c r="D3" s="104"/>
      <c r="E3" s="104"/>
      <c r="F3" s="104"/>
      <c r="G3" s="104" t="s">
        <v>9</v>
      </c>
      <c r="H3" s="104"/>
      <c r="I3" s="104"/>
      <c r="J3" s="104"/>
      <c r="K3" s="104" t="s">
        <v>10</v>
      </c>
      <c r="L3" s="104"/>
      <c r="M3" s="104"/>
      <c r="N3" s="104"/>
      <c r="O3" s="104" t="s">
        <v>11</v>
      </c>
      <c r="P3" s="104"/>
      <c r="Q3" s="104"/>
      <c r="R3" s="104"/>
      <c r="S3" s="104" t="s">
        <v>12</v>
      </c>
      <c r="T3" s="104"/>
      <c r="U3" s="104"/>
      <c r="V3" s="104"/>
      <c r="W3" s="104" t="s">
        <v>13</v>
      </c>
      <c r="X3" s="104"/>
      <c r="Y3" s="104"/>
      <c r="Z3" s="104"/>
      <c r="AA3" s="104" t="s">
        <v>14</v>
      </c>
      <c r="AB3" s="104"/>
      <c r="AC3" s="104"/>
      <c r="AD3" s="104"/>
    </row>
    <row r="4" customFormat="false" ht="15" hidden="false" customHeight="true" outlineLevel="0" collapsed="false">
      <c r="A4" s="48" t="s">
        <v>158</v>
      </c>
      <c r="B4" s="48" t="s">
        <v>159</v>
      </c>
      <c r="C4" s="48" t="s">
        <v>160</v>
      </c>
      <c r="D4" s="48" t="s">
        <v>161</v>
      </c>
      <c r="E4" s="48" t="s">
        <v>162</v>
      </c>
      <c r="F4" s="48" t="s">
        <v>61</v>
      </c>
      <c r="G4" s="48" t="s">
        <v>160</v>
      </c>
      <c r="H4" s="48" t="s">
        <v>161</v>
      </c>
      <c r="I4" s="48" t="s">
        <v>162</v>
      </c>
      <c r="J4" s="48" t="s">
        <v>61</v>
      </c>
      <c r="K4" s="48" t="s">
        <v>160</v>
      </c>
      <c r="L4" s="48" t="s">
        <v>161</v>
      </c>
      <c r="M4" s="48" t="s">
        <v>162</v>
      </c>
      <c r="N4" s="48" t="s">
        <v>61</v>
      </c>
      <c r="O4" s="48" t="s">
        <v>160</v>
      </c>
      <c r="P4" s="48" t="s">
        <v>161</v>
      </c>
      <c r="Q4" s="48" t="s">
        <v>162</v>
      </c>
      <c r="R4" s="48" t="s">
        <v>61</v>
      </c>
      <c r="S4" s="48" t="s">
        <v>160</v>
      </c>
      <c r="T4" s="48" t="s">
        <v>161</v>
      </c>
      <c r="U4" s="48" t="s">
        <v>162</v>
      </c>
      <c r="V4" s="48" t="s">
        <v>61</v>
      </c>
      <c r="W4" s="48" t="s">
        <v>160</v>
      </c>
      <c r="X4" s="48" t="s">
        <v>161</v>
      </c>
      <c r="Y4" s="48" t="s">
        <v>162</v>
      </c>
      <c r="Z4" s="48" t="s">
        <v>61</v>
      </c>
      <c r="AA4" s="48" t="s">
        <v>160</v>
      </c>
      <c r="AB4" s="48" t="s">
        <v>161</v>
      </c>
      <c r="AC4" s="48" t="s">
        <v>162</v>
      </c>
      <c r="AD4" s="48" t="s">
        <v>61</v>
      </c>
      <c r="AE4" s="48" t="s">
        <v>163</v>
      </c>
    </row>
    <row r="6" customFormat="false" ht="15" hidden="false" customHeight="true" outlineLevel="0" collapsed="false">
      <c r="A6" s="129" t="n">
        <v>0.229166666666667</v>
      </c>
      <c r="B6" s="130" t="n">
        <v>2.2</v>
      </c>
      <c r="C6" s="113" t="n">
        <f aca="false">SUMPRODUCT((Turni!$F$5:$F$27&lt;=$A6)*(Turni!$G$5:$G$27&gt;$A6))</f>
        <v>5</v>
      </c>
      <c r="D6" s="113" t="n">
        <f aca="false">SUMPRODUCT((Turni!$F$5:$F$27&lt;=$A6)*(Turni!$G$5:$G$27&gt;$A6)*(Turni!$B$5:$B$27="RESP"))</f>
        <v>3</v>
      </c>
      <c r="E6" s="131" t="n">
        <f aca="false">IF($A6&lt;Parametri!B$63,0,MAX(Parametri!$B$66,IF(AND($A6&gt;=8/24,$A6&lt;21/24),INDEX(Casse!B$6:B$18,INT($A6*24)-7)+Parametri!$B$17,0)+INT((OreRichieste!B$17-Casse!B$19-Casse!B$25)*$B6/SUMIFS($B$6:$B$68,$A$6:$A$68,"&gt;="&amp;Parametri!B$63)/0.25)))</f>
        <v>5</v>
      </c>
      <c r="F6" s="132" t="str">
        <f aca="false">IF(C6&lt;E6,"KO",IF(AND(C6&gt;0,D6=0),"NO RESP","OK"))</f>
        <v>OK</v>
      </c>
      <c r="G6" s="113" t="n">
        <f aca="false">SUMPRODUCT((Turni!$I$5:$I$27&lt;=$A6)*(Turni!$J$5:$J$27&gt;$A6))</f>
        <v>0</v>
      </c>
      <c r="H6" s="113" t="n">
        <f aca="false">SUMPRODUCT((Turni!$I$5:$I$27&lt;=$A6)*(Turni!$J$5:$J$27&gt;$A6)*(Turni!$B$5:$B$27="RESP"))</f>
        <v>0</v>
      </c>
      <c r="I6" s="131" t="n">
        <f aca="false">IF($A6&lt;Parametri!C$63,0,MAX(Parametri!$B$66,IF(AND($A6&gt;=8/24,$A6&lt;21/24),INDEX(Casse!C$6:C$18,INT($A6*24)-7)+Parametri!$B$17,0)+INT((OreRichieste!C$17-Casse!C$19-Casse!C$25)*$B6/SUMIFS($B$6:$B$68,$A$6:$A$68,"&gt;="&amp;Parametri!C$63)/0.25)))</f>
        <v>0</v>
      </c>
      <c r="J6" s="132" t="str">
        <f aca="false">IF(G6&lt;I6,"KO",IF(AND(G6&gt;0,H6=0),"NO RESP","OK"))</f>
        <v>OK</v>
      </c>
      <c r="K6" s="113" t="n">
        <f aca="false">SUMPRODUCT((Turni!$L$5:$L$27&lt;=$A6)*(Turni!$M$5:$M$27&gt;$A6))</f>
        <v>0</v>
      </c>
      <c r="L6" s="113" t="n">
        <f aca="false">SUMPRODUCT((Turni!$L$5:$L$27&lt;=$A6)*(Turni!$M$5:$M$27&gt;$A6)*(Turni!$B$5:$B$27="RESP"))</f>
        <v>0</v>
      </c>
      <c r="M6" s="131" t="n">
        <f aca="false">IF($A6&lt;Parametri!D$63,0,MAX(Parametri!$B$66,IF(AND($A6&gt;=8/24,$A6&lt;21/24),INDEX(Casse!D$6:D$18,INT($A6*24)-7)+Parametri!$B$17,0)+INT((OreRichieste!D$17-Casse!D$19-Casse!D$25)*$B6/SUMIFS($B$6:$B$68,$A$6:$A$68,"&gt;="&amp;Parametri!D$63)/0.25)))</f>
        <v>0</v>
      </c>
      <c r="N6" s="132" t="str">
        <f aca="false">IF(K6&lt;M6,"KO",IF(AND(K6&gt;0,L6=0),"NO RESP","OK"))</f>
        <v>OK</v>
      </c>
      <c r="O6" s="113" t="n">
        <f aca="false">SUMPRODUCT((Turni!$O$5:$O$27&lt;=$A6)*(Turni!$P$5:$P$27&gt;$A6))</f>
        <v>5</v>
      </c>
      <c r="P6" s="113" t="n">
        <f aca="false">SUMPRODUCT((Turni!$O$5:$O$27&lt;=$A6)*(Turni!$P$5:$P$27&gt;$A6)*(Turni!$B$5:$B$27="RESP"))</f>
        <v>3</v>
      </c>
      <c r="Q6" s="131" t="n">
        <f aca="false">IF($A6&lt;Parametri!E$63,0,MAX(Parametri!$B$66,IF(AND($A6&gt;=8/24,$A6&lt;21/24),INDEX(Casse!E$6:E$18,INT($A6*24)-7)+Parametri!$B$17,0)+INT((OreRichieste!E$17-Casse!E$19-Casse!E$25)*$B6/SUMIFS($B$6:$B$68,$A$6:$A$68,"&gt;="&amp;Parametri!E$63)/0.25)))</f>
        <v>5</v>
      </c>
      <c r="R6" s="132" t="str">
        <f aca="false">IF(O6&lt;Q6,"KO",IF(AND(O6&gt;0,P6=0),"NO RESP","OK"))</f>
        <v>OK</v>
      </c>
      <c r="S6" s="113" t="n">
        <f aca="false">SUMPRODUCT((Turni!$R$5:$R$27&lt;=$A6)*(Turni!$S$5:$S$27&gt;$A6))</f>
        <v>0</v>
      </c>
      <c r="T6" s="113" t="n">
        <f aca="false">SUMPRODUCT((Turni!$R$5:$R$27&lt;=$A6)*(Turni!$S$5:$S$27&gt;$A6)*(Turni!$B$5:$B$27="RESP"))</f>
        <v>0</v>
      </c>
      <c r="U6" s="131" t="n">
        <f aca="false">IF($A6&lt;Parametri!F$63,0,MAX(Parametri!$B$66,IF(AND($A6&gt;=8/24,$A6&lt;21/24),INDEX(Casse!F$6:F$18,INT($A6*24)-7)+Parametri!$B$17,0)+INT((OreRichieste!F$17-Casse!F$19-Casse!F$25)*$B6/SUMIFS($B$6:$B$68,$A$6:$A$68,"&gt;="&amp;Parametri!F$63)/0.25)))</f>
        <v>0</v>
      </c>
      <c r="V6" s="132" t="str">
        <f aca="false">IF(S6&lt;U6,"KO",IF(AND(S6&gt;0,T6=0),"NO RESP","OK"))</f>
        <v>OK</v>
      </c>
      <c r="W6" s="113" t="n">
        <f aca="false">SUMPRODUCT((Turni!$U$5:$U$27&lt;=$A6)*(Turni!$V$5:$V$27&gt;$A6))</f>
        <v>5</v>
      </c>
      <c r="X6" s="113" t="n">
        <f aca="false">SUMPRODUCT((Turni!$U$5:$U$27&lt;=$A6)*(Turni!$V$5:$V$27&gt;$A6)*(Turni!$B$5:$B$27="RESP"))</f>
        <v>2</v>
      </c>
      <c r="Y6" s="131" t="n">
        <f aca="false">IF($A6&lt;Parametri!G$63,0,MAX(Parametri!$B$66,IF(AND($A6&gt;=8/24,$A6&lt;21/24),INDEX(Casse!G$6:G$18,INT($A6*24)-7)+Parametri!$B$17,0)+INT((OreRichieste!G$17-Casse!G$19-Casse!G$25)*$B6/SUMIFS($B$6:$B$68,$A$6:$A$68,"&gt;="&amp;Parametri!G$63)/0.25)))</f>
        <v>5</v>
      </c>
      <c r="Z6" s="132" t="str">
        <f aca="false">IF(W6&lt;Y6,"KO",IF(AND(W6&gt;0,X6=0),"NO RESP","OK"))</f>
        <v>OK</v>
      </c>
      <c r="AA6" s="113" t="n">
        <f aca="false">SUMPRODUCT((Turni!$X$5:$X$27&lt;=$A6)*(Turni!$Y$5:$Y$27&gt;$A6))</f>
        <v>0</v>
      </c>
      <c r="AB6" s="113" t="n">
        <f aca="false">SUMPRODUCT((Turni!$X$5:$X$27&lt;=$A6)*(Turni!$Y$5:$Y$27&gt;$A6)*(Turni!$B$5:$B$27="RESP"))</f>
        <v>0</v>
      </c>
      <c r="AC6" s="131" t="n">
        <f aca="false">IF($A6&lt;Parametri!H$63,0,MAX(Parametri!$B$66,IF(AND($A6&gt;=8/24,$A6&lt;21/24),INDEX(Casse!H$6:H$18,INT($A6*24)-7)+Parametri!$B$17,0)+INT((OreRichieste!H$17-Casse!H$19-Casse!H$25)*$B6/SUMIFS($B$6:$B$68,$A$6:$A$68,"&gt;="&amp;Parametri!H$63)/0.25)))</f>
        <v>0</v>
      </c>
      <c r="AD6" s="132" t="str">
        <f aca="false">IF(AA6&lt;AC6,"KO",IF(AND(AA6&gt;0,AB6=0),"NO RESP","OK"))</f>
        <v>OK</v>
      </c>
      <c r="AE6" s="133" t="s">
        <v>164</v>
      </c>
    </row>
    <row r="7" customFormat="false" ht="15" hidden="false" customHeight="true" outlineLevel="0" collapsed="false">
      <c r="A7" s="129" t="n">
        <v>0.239583333333333</v>
      </c>
      <c r="B7" s="130" t="n">
        <v>2.2</v>
      </c>
      <c r="C7" s="113" t="n">
        <f aca="false">SUMPRODUCT((Turni!$F$5:$F$27&lt;=$A7)*(Turni!$G$5:$G$27&gt;$A7))</f>
        <v>5</v>
      </c>
      <c r="D7" s="113" t="n">
        <f aca="false">SUMPRODUCT((Turni!$F$5:$F$27&lt;=$A7)*(Turni!$G$5:$G$27&gt;$A7)*(Turni!$B$5:$B$27="RESP"))</f>
        <v>3</v>
      </c>
      <c r="E7" s="131" t="n">
        <f aca="false">IF($A7&lt;Parametri!B$63,0,MAX(Parametri!$B$66,IF(AND($A7&gt;=8/24,$A7&lt;21/24),INDEX(Casse!B$6:B$18,INT($A7*24)-7)+Parametri!$B$17,0)+INT((OreRichieste!B$17-Casse!B$19-Casse!B$25)*$B7/SUMIFS($B$6:$B$68,$A$6:$A$68,"&gt;="&amp;Parametri!B$63)/0.25)))</f>
        <v>5</v>
      </c>
      <c r="F7" s="132" t="str">
        <f aca="false">IF(C7&lt;E7,"KO",IF(AND(C7&gt;0,D7=0),"NO RESP","OK"))</f>
        <v>OK</v>
      </c>
      <c r="G7" s="113" t="n">
        <f aca="false">SUMPRODUCT((Turni!$I$5:$I$27&lt;=$A7)*(Turni!$J$5:$J$27&gt;$A7))</f>
        <v>0</v>
      </c>
      <c r="H7" s="113" t="n">
        <f aca="false">SUMPRODUCT((Turni!$I$5:$I$27&lt;=$A7)*(Turni!$J$5:$J$27&gt;$A7)*(Turni!$B$5:$B$27="RESP"))</f>
        <v>0</v>
      </c>
      <c r="I7" s="131" t="n">
        <f aca="false">IF($A7&lt;Parametri!C$63,0,MAX(Parametri!$B$66,IF(AND($A7&gt;=8/24,$A7&lt;21/24),INDEX(Casse!C$6:C$18,INT($A7*24)-7)+Parametri!$B$17,0)+INT((OreRichieste!C$17-Casse!C$19-Casse!C$25)*$B7/SUMIFS($B$6:$B$68,$A$6:$A$68,"&gt;="&amp;Parametri!C$63)/0.25)))</f>
        <v>0</v>
      </c>
      <c r="J7" s="132" t="str">
        <f aca="false">IF(G7&lt;I7,"KO",IF(AND(G7&gt;0,H7=0),"NO RESP","OK"))</f>
        <v>OK</v>
      </c>
      <c r="K7" s="113" t="n">
        <f aca="false">SUMPRODUCT((Turni!$L$5:$L$27&lt;=$A7)*(Turni!$M$5:$M$27&gt;$A7))</f>
        <v>0</v>
      </c>
      <c r="L7" s="113" t="n">
        <f aca="false">SUMPRODUCT((Turni!$L$5:$L$27&lt;=$A7)*(Turni!$M$5:$M$27&gt;$A7)*(Turni!$B$5:$B$27="RESP"))</f>
        <v>0</v>
      </c>
      <c r="M7" s="131" t="n">
        <f aca="false">IF($A7&lt;Parametri!D$63,0,MAX(Parametri!$B$66,IF(AND($A7&gt;=8/24,$A7&lt;21/24),INDEX(Casse!D$6:D$18,INT($A7*24)-7)+Parametri!$B$17,0)+INT((OreRichieste!D$17-Casse!D$19-Casse!D$25)*$B7/SUMIFS($B$6:$B$68,$A$6:$A$68,"&gt;="&amp;Parametri!D$63)/0.25)))</f>
        <v>0</v>
      </c>
      <c r="N7" s="132" t="str">
        <f aca="false">IF(K7&lt;M7,"KO",IF(AND(K7&gt;0,L7=0),"NO RESP","OK"))</f>
        <v>OK</v>
      </c>
      <c r="O7" s="113" t="n">
        <f aca="false">SUMPRODUCT((Turni!$O$5:$O$27&lt;=$A7)*(Turni!$P$5:$P$27&gt;$A7))</f>
        <v>5</v>
      </c>
      <c r="P7" s="113" t="n">
        <f aca="false">SUMPRODUCT((Turni!$O$5:$O$27&lt;=$A7)*(Turni!$P$5:$P$27&gt;$A7)*(Turni!$B$5:$B$27="RESP"))</f>
        <v>3</v>
      </c>
      <c r="Q7" s="131" t="n">
        <f aca="false">IF($A7&lt;Parametri!E$63,0,MAX(Parametri!$B$66,IF(AND($A7&gt;=8/24,$A7&lt;21/24),INDEX(Casse!E$6:E$18,INT($A7*24)-7)+Parametri!$B$17,0)+INT((OreRichieste!E$17-Casse!E$19-Casse!E$25)*$B7/SUMIFS($B$6:$B$68,$A$6:$A$68,"&gt;="&amp;Parametri!E$63)/0.25)))</f>
        <v>5</v>
      </c>
      <c r="R7" s="132" t="str">
        <f aca="false">IF(O7&lt;Q7,"KO",IF(AND(O7&gt;0,P7=0),"NO RESP","OK"))</f>
        <v>OK</v>
      </c>
      <c r="S7" s="113" t="n">
        <f aca="false">SUMPRODUCT((Turni!$R$5:$R$27&lt;=$A7)*(Turni!$S$5:$S$27&gt;$A7))</f>
        <v>0</v>
      </c>
      <c r="T7" s="113" t="n">
        <f aca="false">SUMPRODUCT((Turni!$R$5:$R$27&lt;=$A7)*(Turni!$S$5:$S$27&gt;$A7)*(Turni!$B$5:$B$27="RESP"))</f>
        <v>0</v>
      </c>
      <c r="U7" s="131" t="n">
        <f aca="false">IF($A7&lt;Parametri!F$63,0,MAX(Parametri!$B$66,IF(AND($A7&gt;=8/24,$A7&lt;21/24),INDEX(Casse!F$6:F$18,INT($A7*24)-7)+Parametri!$B$17,0)+INT((OreRichieste!F$17-Casse!F$19-Casse!F$25)*$B7/SUMIFS($B$6:$B$68,$A$6:$A$68,"&gt;="&amp;Parametri!F$63)/0.25)))</f>
        <v>0</v>
      </c>
      <c r="V7" s="132" t="str">
        <f aca="false">IF(S7&lt;U7,"KO",IF(AND(S7&gt;0,T7=0),"NO RESP","OK"))</f>
        <v>OK</v>
      </c>
      <c r="W7" s="113" t="n">
        <f aca="false">SUMPRODUCT((Turni!$U$5:$U$27&lt;=$A7)*(Turni!$V$5:$V$27&gt;$A7))</f>
        <v>5</v>
      </c>
      <c r="X7" s="113" t="n">
        <f aca="false">SUMPRODUCT((Turni!$U$5:$U$27&lt;=$A7)*(Turni!$V$5:$V$27&gt;$A7)*(Turni!$B$5:$B$27="RESP"))</f>
        <v>2</v>
      </c>
      <c r="Y7" s="131" t="n">
        <f aca="false">IF($A7&lt;Parametri!G$63,0,MAX(Parametri!$B$66,IF(AND($A7&gt;=8/24,$A7&lt;21/24),INDEX(Casse!G$6:G$18,INT($A7*24)-7)+Parametri!$B$17,0)+INT((OreRichieste!G$17-Casse!G$19-Casse!G$25)*$B7/SUMIFS($B$6:$B$68,$A$6:$A$68,"&gt;="&amp;Parametri!G$63)/0.25)))</f>
        <v>5</v>
      </c>
      <c r="Z7" s="132" t="str">
        <f aca="false">IF(W7&lt;Y7,"KO",IF(AND(W7&gt;0,X7=0),"NO RESP","OK"))</f>
        <v>OK</v>
      </c>
      <c r="AA7" s="113" t="n">
        <f aca="false">SUMPRODUCT((Turni!$X$5:$X$27&lt;=$A7)*(Turni!$Y$5:$Y$27&gt;$A7))</f>
        <v>0</v>
      </c>
      <c r="AB7" s="113" t="n">
        <f aca="false">SUMPRODUCT((Turni!$X$5:$X$27&lt;=$A7)*(Turni!$Y$5:$Y$27&gt;$A7)*(Turni!$B$5:$B$27="RESP"))</f>
        <v>0</v>
      </c>
      <c r="AC7" s="131" t="n">
        <f aca="false">IF($A7&lt;Parametri!H$63,0,MAX(Parametri!$B$66,IF(AND($A7&gt;=8/24,$A7&lt;21/24),INDEX(Casse!H$6:H$18,INT($A7*24)-7)+Parametri!$B$17,0)+INT((OreRichieste!H$17-Casse!H$19-Casse!H$25)*$B7/SUMIFS($B$6:$B$68,$A$6:$A$68,"&gt;="&amp;Parametri!H$63)/0.25)))</f>
        <v>0</v>
      </c>
      <c r="AD7" s="132" t="str">
        <f aca="false">IF(AA7&lt;AC7,"KO",IF(AND(AA7&gt;0,AB7=0),"NO RESP","OK"))</f>
        <v>OK</v>
      </c>
      <c r="AE7" s="133" t="s">
        <v>165</v>
      </c>
    </row>
    <row r="8" customFormat="false" ht="15" hidden="false" customHeight="true" outlineLevel="0" collapsed="false">
      <c r="A8" s="129" t="n">
        <v>0.25</v>
      </c>
      <c r="B8" s="130" t="n">
        <v>2.2</v>
      </c>
      <c r="C8" s="113" t="n">
        <f aca="false">SUMPRODUCT((Turni!$F$5:$F$27&lt;=$A8)*(Turni!$G$5:$G$27&gt;$A8))</f>
        <v>5</v>
      </c>
      <c r="D8" s="113" t="n">
        <f aca="false">SUMPRODUCT((Turni!$F$5:$F$27&lt;=$A8)*(Turni!$G$5:$G$27&gt;$A8)*(Turni!$B$5:$B$27="RESP"))</f>
        <v>3</v>
      </c>
      <c r="E8" s="131" t="n">
        <f aca="false">IF($A8&lt;Parametri!B$63,0,MAX(Parametri!$B$66,IF(AND($A8&gt;=8/24,$A8&lt;21/24),INDEX(Casse!B$6:B$18,INT($A8*24)-7)+Parametri!$B$17,0)+INT((OreRichieste!B$17-Casse!B$19-Casse!B$25)*$B8/SUMIFS($B$6:$B$68,$A$6:$A$68,"&gt;="&amp;Parametri!B$63)/0.25)))</f>
        <v>5</v>
      </c>
      <c r="F8" s="132" t="str">
        <f aca="false">IF(C8&lt;E8,"KO",IF(AND(C8&gt;0,D8=0),"NO RESP","OK"))</f>
        <v>OK</v>
      </c>
      <c r="G8" s="113" t="n">
        <f aca="false">SUMPRODUCT((Turni!$I$5:$I$27&lt;=$A8)*(Turni!$J$5:$J$27&gt;$A8))</f>
        <v>4</v>
      </c>
      <c r="H8" s="113" t="n">
        <f aca="false">SUMPRODUCT((Turni!$I$5:$I$27&lt;=$A8)*(Turni!$J$5:$J$27&gt;$A8)*(Turni!$B$5:$B$27="RESP"))</f>
        <v>1</v>
      </c>
      <c r="I8" s="131" t="n">
        <f aca="false">IF($A8&lt;Parametri!C$63,0,MAX(Parametri!$B$66,IF(AND($A8&gt;=8/24,$A8&lt;21/24),INDEX(Casse!C$6:C$18,INT($A8*24)-7)+Parametri!$B$17,0)+INT((OreRichieste!C$17-Casse!C$19-Casse!C$25)*$B8/SUMIFS($B$6:$B$68,$A$6:$A$68,"&gt;="&amp;Parametri!C$63)/0.25)))</f>
        <v>4</v>
      </c>
      <c r="J8" s="132" t="str">
        <f aca="false">IF(G8&lt;I8,"KO",IF(AND(G8&gt;0,H8=0),"NO RESP","OK"))</f>
        <v>OK</v>
      </c>
      <c r="K8" s="113" t="n">
        <f aca="false">SUMPRODUCT((Turni!$L$5:$L$27&lt;=$A8)*(Turni!$M$5:$M$27&gt;$A8))</f>
        <v>4</v>
      </c>
      <c r="L8" s="113" t="n">
        <f aca="false">SUMPRODUCT((Turni!$L$5:$L$27&lt;=$A8)*(Turni!$M$5:$M$27&gt;$A8)*(Turni!$B$5:$B$27="RESP"))</f>
        <v>1</v>
      </c>
      <c r="M8" s="131" t="n">
        <f aca="false">IF($A8&lt;Parametri!D$63,0,MAX(Parametri!$B$66,IF(AND($A8&gt;=8/24,$A8&lt;21/24),INDEX(Casse!D$6:D$18,INT($A8*24)-7)+Parametri!$B$17,0)+INT((OreRichieste!D$17-Casse!D$19-Casse!D$25)*$B8/SUMIFS($B$6:$B$68,$A$6:$A$68,"&gt;="&amp;Parametri!D$63)/0.25)))</f>
        <v>4</v>
      </c>
      <c r="N8" s="132" t="str">
        <f aca="false">IF(K8&lt;M8,"KO",IF(AND(K8&gt;0,L8=0),"NO RESP","OK"))</f>
        <v>OK</v>
      </c>
      <c r="O8" s="113" t="n">
        <f aca="false">SUMPRODUCT((Turni!$O$5:$O$27&lt;=$A8)*(Turni!$P$5:$P$27&gt;$A8))</f>
        <v>5</v>
      </c>
      <c r="P8" s="113" t="n">
        <f aca="false">SUMPRODUCT((Turni!$O$5:$O$27&lt;=$A8)*(Turni!$P$5:$P$27&gt;$A8)*(Turni!$B$5:$B$27="RESP"))</f>
        <v>3</v>
      </c>
      <c r="Q8" s="131" t="n">
        <f aca="false">IF($A8&lt;Parametri!E$63,0,MAX(Parametri!$B$66,IF(AND($A8&gt;=8/24,$A8&lt;21/24),INDEX(Casse!E$6:E$18,INT($A8*24)-7)+Parametri!$B$17,0)+INT((OreRichieste!E$17-Casse!E$19-Casse!E$25)*$B8/SUMIFS($B$6:$B$68,$A$6:$A$68,"&gt;="&amp;Parametri!E$63)/0.25)))</f>
        <v>5</v>
      </c>
      <c r="R8" s="132" t="str">
        <f aca="false">IF(O8&lt;Q8,"KO",IF(AND(O8&gt;0,P8=0),"NO RESP","OK"))</f>
        <v>OK</v>
      </c>
      <c r="S8" s="113" t="n">
        <f aca="false">SUMPRODUCT((Turni!$R$5:$R$27&lt;=$A8)*(Turni!$S$5:$S$27&gt;$A8))</f>
        <v>4</v>
      </c>
      <c r="T8" s="113" t="n">
        <f aca="false">SUMPRODUCT((Turni!$R$5:$R$27&lt;=$A8)*(Turni!$S$5:$S$27&gt;$A8)*(Turni!$B$5:$B$27="RESP"))</f>
        <v>2</v>
      </c>
      <c r="U8" s="131" t="n">
        <f aca="false">IF($A8&lt;Parametri!F$63,0,MAX(Parametri!$B$66,IF(AND($A8&gt;=8/24,$A8&lt;21/24),INDEX(Casse!F$6:F$18,INT($A8*24)-7)+Parametri!$B$17,0)+INT((OreRichieste!F$17-Casse!F$19-Casse!F$25)*$B8/SUMIFS($B$6:$B$68,$A$6:$A$68,"&gt;="&amp;Parametri!F$63)/0.25)))</f>
        <v>4</v>
      </c>
      <c r="V8" s="132" t="str">
        <f aca="false">IF(S8&lt;U8,"KO",IF(AND(S8&gt;0,T8=0),"NO RESP","OK"))</f>
        <v>OK</v>
      </c>
      <c r="W8" s="113" t="n">
        <f aca="false">SUMPRODUCT((Turni!$U$5:$U$27&lt;=$A8)*(Turni!$V$5:$V$27&gt;$A8))</f>
        <v>5</v>
      </c>
      <c r="X8" s="113" t="n">
        <f aca="false">SUMPRODUCT((Turni!$U$5:$U$27&lt;=$A8)*(Turni!$V$5:$V$27&gt;$A8)*(Turni!$B$5:$B$27="RESP"))</f>
        <v>2</v>
      </c>
      <c r="Y8" s="131" t="n">
        <f aca="false">IF($A8&lt;Parametri!G$63,0,MAX(Parametri!$B$66,IF(AND($A8&gt;=8/24,$A8&lt;21/24),INDEX(Casse!G$6:G$18,INT($A8*24)-7)+Parametri!$B$17,0)+INT((OreRichieste!G$17-Casse!G$19-Casse!G$25)*$B8/SUMIFS($B$6:$B$68,$A$6:$A$68,"&gt;="&amp;Parametri!G$63)/0.25)))</f>
        <v>5</v>
      </c>
      <c r="Z8" s="132" t="str">
        <f aca="false">IF(W8&lt;Y8,"KO",IF(AND(W8&gt;0,X8=0),"NO RESP","OK"))</f>
        <v>OK</v>
      </c>
      <c r="AA8" s="113" t="n">
        <f aca="false">SUMPRODUCT((Turni!$X$5:$X$27&lt;=$A8)*(Turni!$Y$5:$Y$27&gt;$A8))</f>
        <v>4</v>
      </c>
      <c r="AB8" s="113" t="n">
        <f aca="false">SUMPRODUCT((Turni!$X$5:$X$27&lt;=$A8)*(Turni!$Y$5:$Y$27&gt;$A8)*(Turni!$B$5:$B$27="RESP"))</f>
        <v>1</v>
      </c>
      <c r="AC8" s="131" t="n">
        <f aca="false">IF($A8&lt;Parametri!H$63,0,MAX(Parametri!$B$66,IF(AND($A8&gt;=8/24,$A8&lt;21/24),INDEX(Casse!H$6:H$18,INT($A8*24)-7)+Parametri!$B$17,0)+INT((OreRichieste!H$17-Casse!H$19-Casse!H$25)*$B8/SUMIFS($B$6:$B$68,$A$6:$A$68,"&gt;="&amp;Parametri!H$63)/0.25)))</f>
        <v>4</v>
      </c>
      <c r="AD8" s="132" t="str">
        <f aca="false">IF(AA8&lt;AC8,"KO",IF(AND(AA8&gt;0,AB8=0),"NO RESP","OK"))</f>
        <v>OK</v>
      </c>
      <c r="AE8" s="133" t="s">
        <v>166</v>
      </c>
    </row>
    <row r="9" customFormat="false" ht="15" hidden="false" customHeight="true" outlineLevel="0" collapsed="false">
      <c r="A9" s="129" t="n">
        <v>0.260416666666667</v>
      </c>
      <c r="B9" s="130" t="n">
        <v>2.2</v>
      </c>
      <c r="C9" s="113" t="n">
        <f aca="false">SUMPRODUCT((Turni!$F$5:$F$27&lt;=$A9)*(Turni!$G$5:$G$27&gt;$A9))</f>
        <v>5</v>
      </c>
      <c r="D9" s="113" t="n">
        <f aca="false">SUMPRODUCT((Turni!$F$5:$F$27&lt;=$A9)*(Turni!$G$5:$G$27&gt;$A9)*(Turni!$B$5:$B$27="RESP"))</f>
        <v>3</v>
      </c>
      <c r="E9" s="131" t="n">
        <f aca="false">IF($A9&lt;Parametri!B$63,0,MAX(Parametri!$B$66,IF(AND($A9&gt;=8/24,$A9&lt;21/24),INDEX(Casse!B$6:B$18,INT($A9*24)-7)+Parametri!$B$17,0)+INT((OreRichieste!B$17-Casse!B$19-Casse!B$25)*$B9/SUMIFS($B$6:$B$68,$A$6:$A$68,"&gt;="&amp;Parametri!B$63)/0.25)))</f>
        <v>5</v>
      </c>
      <c r="F9" s="132" t="str">
        <f aca="false">IF(C9&lt;E9,"KO",IF(AND(C9&gt;0,D9=0),"NO RESP","OK"))</f>
        <v>OK</v>
      </c>
      <c r="G9" s="113" t="n">
        <f aca="false">SUMPRODUCT((Turni!$I$5:$I$27&lt;=$A9)*(Turni!$J$5:$J$27&gt;$A9))</f>
        <v>4</v>
      </c>
      <c r="H9" s="113" t="n">
        <f aca="false">SUMPRODUCT((Turni!$I$5:$I$27&lt;=$A9)*(Turni!$J$5:$J$27&gt;$A9)*(Turni!$B$5:$B$27="RESP"))</f>
        <v>1</v>
      </c>
      <c r="I9" s="131" t="n">
        <f aca="false">IF($A9&lt;Parametri!C$63,0,MAX(Parametri!$B$66,IF(AND($A9&gt;=8/24,$A9&lt;21/24),INDEX(Casse!C$6:C$18,INT($A9*24)-7)+Parametri!$B$17,0)+INT((OreRichieste!C$17-Casse!C$19-Casse!C$25)*$B9/SUMIFS($B$6:$B$68,$A$6:$A$68,"&gt;="&amp;Parametri!C$63)/0.25)))</f>
        <v>4</v>
      </c>
      <c r="J9" s="132" t="str">
        <f aca="false">IF(G9&lt;I9,"KO",IF(AND(G9&gt;0,H9=0),"NO RESP","OK"))</f>
        <v>OK</v>
      </c>
      <c r="K9" s="113" t="n">
        <f aca="false">SUMPRODUCT((Turni!$L$5:$L$27&lt;=$A9)*(Turni!$M$5:$M$27&gt;$A9))</f>
        <v>4</v>
      </c>
      <c r="L9" s="113" t="n">
        <f aca="false">SUMPRODUCT((Turni!$L$5:$L$27&lt;=$A9)*(Turni!$M$5:$M$27&gt;$A9)*(Turni!$B$5:$B$27="RESP"))</f>
        <v>1</v>
      </c>
      <c r="M9" s="131" t="n">
        <f aca="false">IF($A9&lt;Parametri!D$63,0,MAX(Parametri!$B$66,IF(AND($A9&gt;=8/24,$A9&lt;21/24),INDEX(Casse!D$6:D$18,INT($A9*24)-7)+Parametri!$B$17,0)+INT((OreRichieste!D$17-Casse!D$19-Casse!D$25)*$B9/SUMIFS($B$6:$B$68,$A$6:$A$68,"&gt;="&amp;Parametri!D$63)/0.25)))</f>
        <v>4</v>
      </c>
      <c r="N9" s="132" t="str">
        <f aca="false">IF(K9&lt;M9,"KO",IF(AND(K9&gt;0,L9=0),"NO RESP","OK"))</f>
        <v>OK</v>
      </c>
      <c r="O9" s="113" t="n">
        <f aca="false">SUMPRODUCT((Turni!$O$5:$O$27&lt;=$A9)*(Turni!$P$5:$P$27&gt;$A9))</f>
        <v>5</v>
      </c>
      <c r="P9" s="113" t="n">
        <f aca="false">SUMPRODUCT((Turni!$O$5:$O$27&lt;=$A9)*(Turni!$P$5:$P$27&gt;$A9)*(Turni!$B$5:$B$27="RESP"))</f>
        <v>3</v>
      </c>
      <c r="Q9" s="131" t="n">
        <f aca="false">IF($A9&lt;Parametri!E$63,0,MAX(Parametri!$B$66,IF(AND($A9&gt;=8/24,$A9&lt;21/24),INDEX(Casse!E$6:E$18,INT($A9*24)-7)+Parametri!$B$17,0)+INT((OreRichieste!E$17-Casse!E$19-Casse!E$25)*$B9/SUMIFS($B$6:$B$68,$A$6:$A$68,"&gt;="&amp;Parametri!E$63)/0.25)))</f>
        <v>5</v>
      </c>
      <c r="R9" s="132" t="str">
        <f aca="false">IF(O9&lt;Q9,"KO",IF(AND(O9&gt;0,P9=0),"NO RESP","OK"))</f>
        <v>OK</v>
      </c>
      <c r="S9" s="113" t="n">
        <f aca="false">SUMPRODUCT((Turni!$R$5:$R$27&lt;=$A9)*(Turni!$S$5:$S$27&gt;$A9))</f>
        <v>4</v>
      </c>
      <c r="T9" s="113" t="n">
        <f aca="false">SUMPRODUCT((Turni!$R$5:$R$27&lt;=$A9)*(Turni!$S$5:$S$27&gt;$A9)*(Turni!$B$5:$B$27="RESP"))</f>
        <v>2</v>
      </c>
      <c r="U9" s="131" t="n">
        <f aca="false">IF($A9&lt;Parametri!F$63,0,MAX(Parametri!$B$66,IF(AND($A9&gt;=8/24,$A9&lt;21/24),INDEX(Casse!F$6:F$18,INT($A9*24)-7)+Parametri!$B$17,0)+INT((OreRichieste!F$17-Casse!F$19-Casse!F$25)*$B9/SUMIFS($B$6:$B$68,$A$6:$A$68,"&gt;="&amp;Parametri!F$63)/0.25)))</f>
        <v>4</v>
      </c>
      <c r="V9" s="132" t="str">
        <f aca="false">IF(S9&lt;U9,"KO",IF(AND(S9&gt;0,T9=0),"NO RESP","OK"))</f>
        <v>OK</v>
      </c>
      <c r="W9" s="113" t="n">
        <f aca="false">SUMPRODUCT((Turni!$U$5:$U$27&lt;=$A9)*(Turni!$V$5:$V$27&gt;$A9))</f>
        <v>5</v>
      </c>
      <c r="X9" s="113" t="n">
        <f aca="false">SUMPRODUCT((Turni!$U$5:$U$27&lt;=$A9)*(Turni!$V$5:$V$27&gt;$A9)*(Turni!$B$5:$B$27="RESP"))</f>
        <v>2</v>
      </c>
      <c r="Y9" s="131" t="n">
        <f aca="false">IF($A9&lt;Parametri!G$63,0,MAX(Parametri!$B$66,IF(AND($A9&gt;=8/24,$A9&lt;21/24),INDEX(Casse!G$6:G$18,INT($A9*24)-7)+Parametri!$B$17,0)+INT((OreRichieste!G$17-Casse!G$19-Casse!G$25)*$B9/SUMIFS($B$6:$B$68,$A$6:$A$68,"&gt;="&amp;Parametri!G$63)/0.25)))</f>
        <v>5</v>
      </c>
      <c r="Z9" s="132" t="str">
        <f aca="false">IF(W9&lt;Y9,"KO",IF(AND(W9&gt;0,X9=0),"NO RESP","OK"))</f>
        <v>OK</v>
      </c>
      <c r="AA9" s="113" t="n">
        <f aca="false">SUMPRODUCT((Turni!$X$5:$X$27&lt;=$A9)*(Turni!$Y$5:$Y$27&gt;$A9))</f>
        <v>4</v>
      </c>
      <c r="AB9" s="113" t="n">
        <f aca="false">SUMPRODUCT((Turni!$X$5:$X$27&lt;=$A9)*(Turni!$Y$5:$Y$27&gt;$A9)*(Turni!$B$5:$B$27="RESP"))</f>
        <v>1</v>
      </c>
      <c r="AC9" s="131" t="n">
        <f aca="false">IF($A9&lt;Parametri!H$63,0,MAX(Parametri!$B$66,IF(AND($A9&gt;=8/24,$A9&lt;21/24),INDEX(Casse!H$6:H$18,INT($A9*24)-7)+Parametri!$B$17,0)+INT((OreRichieste!H$17-Casse!H$19-Casse!H$25)*$B9/SUMIFS($B$6:$B$68,$A$6:$A$68,"&gt;="&amp;Parametri!H$63)/0.25)))</f>
        <v>4</v>
      </c>
      <c r="AD9" s="132" t="str">
        <f aca="false">IF(AA9&lt;AC9,"KO",IF(AND(AA9&gt;0,AB9=0),"NO RESP","OK"))</f>
        <v>OK</v>
      </c>
      <c r="AE9" s="133" t="s">
        <v>167</v>
      </c>
    </row>
    <row r="10" customFormat="false" ht="15" hidden="false" customHeight="true" outlineLevel="0" collapsed="false">
      <c r="A10" s="129" t="n">
        <v>0.270833333333333</v>
      </c>
      <c r="B10" s="130" t="n">
        <v>2.2</v>
      </c>
      <c r="C10" s="113" t="n">
        <f aca="false">SUMPRODUCT((Turni!$F$5:$F$27&lt;=$A10)*(Turni!$G$5:$G$27&gt;$A10))</f>
        <v>5</v>
      </c>
      <c r="D10" s="113" t="n">
        <f aca="false">SUMPRODUCT((Turni!$F$5:$F$27&lt;=$A10)*(Turni!$G$5:$G$27&gt;$A10)*(Turni!$B$5:$B$27="RESP"))</f>
        <v>3</v>
      </c>
      <c r="E10" s="131" t="n">
        <f aca="false">IF($A10&lt;Parametri!B$63,0,MAX(Parametri!$B$66,IF(AND($A10&gt;=8/24,$A10&lt;21/24),INDEX(Casse!B$6:B$18,INT($A10*24)-7)+Parametri!$B$17,0)+INT((OreRichieste!B$17-Casse!B$19-Casse!B$25)*$B10/SUMIFS($B$6:$B$68,$A$6:$A$68,"&gt;="&amp;Parametri!B$63)/0.25)))</f>
        <v>5</v>
      </c>
      <c r="F10" s="132" t="str">
        <f aca="false">IF(C10&lt;E10,"KO",IF(AND(C10&gt;0,D10=0),"NO RESP","OK"))</f>
        <v>OK</v>
      </c>
      <c r="G10" s="113" t="n">
        <f aca="false">SUMPRODUCT((Turni!$I$5:$I$27&lt;=$A10)*(Turni!$J$5:$J$27&gt;$A10))</f>
        <v>4</v>
      </c>
      <c r="H10" s="113" t="n">
        <f aca="false">SUMPRODUCT((Turni!$I$5:$I$27&lt;=$A10)*(Turni!$J$5:$J$27&gt;$A10)*(Turni!$B$5:$B$27="RESP"))</f>
        <v>1</v>
      </c>
      <c r="I10" s="131" t="n">
        <f aca="false">IF($A10&lt;Parametri!C$63,0,MAX(Parametri!$B$66,IF(AND($A10&gt;=8/24,$A10&lt;21/24),INDEX(Casse!C$6:C$18,INT($A10*24)-7)+Parametri!$B$17,0)+INT((OreRichieste!C$17-Casse!C$19-Casse!C$25)*$B10/SUMIFS($B$6:$B$68,$A$6:$A$68,"&gt;="&amp;Parametri!C$63)/0.25)))</f>
        <v>4</v>
      </c>
      <c r="J10" s="132" t="str">
        <f aca="false">IF(G10&lt;I10,"KO",IF(AND(G10&gt;0,H10=0),"NO RESP","OK"))</f>
        <v>OK</v>
      </c>
      <c r="K10" s="113" t="n">
        <f aca="false">SUMPRODUCT((Turni!$L$5:$L$27&lt;=$A10)*(Turni!$M$5:$M$27&gt;$A10))</f>
        <v>4</v>
      </c>
      <c r="L10" s="113" t="n">
        <f aca="false">SUMPRODUCT((Turni!$L$5:$L$27&lt;=$A10)*(Turni!$M$5:$M$27&gt;$A10)*(Turni!$B$5:$B$27="RESP"))</f>
        <v>1</v>
      </c>
      <c r="M10" s="131" t="n">
        <f aca="false">IF($A10&lt;Parametri!D$63,0,MAX(Parametri!$B$66,IF(AND($A10&gt;=8/24,$A10&lt;21/24),INDEX(Casse!D$6:D$18,INT($A10*24)-7)+Parametri!$B$17,0)+INT((OreRichieste!D$17-Casse!D$19-Casse!D$25)*$B10/SUMIFS($B$6:$B$68,$A$6:$A$68,"&gt;="&amp;Parametri!D$63)/0.25)))</f>
        <v>4</v>
      </c>
      <c r="N10" s="132" t="str">
        <f aca="false">IF(K10&lt;M10,"KO",IF(AND(K10&gt;0,L10=0),"NO RESP","OK"))</f>
        <v>OK</v>
      </c>
      <c r="O10" s="113" t="n">
        <f aca="false">SUMPRODUCT((Turni!$O$5:$O$27&lt;=$A10)*(Turni!$P$5:$P$27&gt;$A10))</f>
        <v>5</v>
      </c>
      <c r="P10" s="113" t="n">
        <f aca="false">SUMPRODUCT((Turni!$O$5:$O$27&lt;=$A10)*(Turni!$P$5:$P$27&gt;$A10)*(Turni!$B$5:$B$27="RESP"))</f>
        <v>3</v>
      </c>
      <c r="Q10" s="131" t="n">
        <f aca="false">IF($A10&lt;Parametri!E$63,0,MAX(Parametri!$B$66,IF(AND($A10&gt;=8/24,$A10&lt;21/24),INDEX(Casse!E$6:E$18,INT($A10*24)-7)+Parametri!$B$17,0)+INT((OreRichieste!E$17-Casse!E$19-Casse!E$25)*$B10/SUMIFS($B$6:$B$68,$A$6:$A$68,"&gt;="&amp;Parametri!E$63)/0.25)))</f>
        <v>5</v>
      </c>
      <c r="R10" s="132" t="str">
        <f aca="false">IF(O10&lt;Q10,"KO",IF(AND(O10&gt;0,P10=0),"NO RESP","OK"))</f>
        <v>OK</v>
      </c>
      <c r="S10" s="113" t="n">
        <f aca="false">SUMPRODUCT((Turni!$R$5:$R$27&lt;=$A10)*(Turni!$S$5:$S$27&gt;$A10))</f>
        <v>4</v>
      </c>
      <c r="T10" s="113" t="n">
        <f aca="false">SUMPRODUCT((Turni!$R$5:$R$27&lt;=$A10)*(Turni!$S$5:$S$27&gt;$A10)*(Turni!$B$5:$B$27="RESP"))</f>
        <v>2</v>
      </c>
      <c r="U10" s="131" t="n">
        <f aca="false">IF($A10&lt;Parametri!F$63,0,MAX(Parametri!$B$66,IF(AND($A10&gt;=8/24,$A10&lt;21/24),INDEX(Casse!F$6:F$18,INT($A10*24)-7)+Parametri!$B$17,0)+INT((OreRichieste!F$17-Casse!F$19-Casse!F$25)*$B10/SUMIFS($B$6:$B$68,$A$6:$A$68,"&gt;="&amp;Parametri!F$63)/0.25)))</f>
        <v>4</v>
      </c>
      <c r="V10" s="132" t="str">
        <f aca="false">IF(S10&lt;U10,"KO",IF(AND(S10&gt;0,T10=0),"NO RESP","OK"))</f>
        <v>OK</v>
      </c>
      <c r="W10" s="113" t="n">
        <f aca="false">SUMPRODUCT((Turni!$U$5:$U$27&lt;=$A10)*(Turni!$V$5:$V$27&gt;$A10))</f>
        <v>5</v>
      </c>
      <c r="X10" s="113" t="n">
        <f aca="false">SUMPRODUCT((Turni!$U$5:$U$27&lt;=$A10)*(Turni!$V$5:$V$27&gt;$A10)*(Turni!$B$5:$B$27="RESP"))</f>
        <v>2</v>
      </c>
      <c r="Y10" s="131" t="n">
        <f aca="false">IF($A10&lt;Parametri!G$63,0,MAX(Parametri!$B$66,IF(AND($A10&gt;=8/24,$A10&lt;21/24),INDEX(Casse!G$6:G$18,INT($A10*24)-7)+Parametri!$B$17,0)+INT((OreRichieste!G$17-Casse!G$19-Casse!G$25)*$B10/SUMIFS($B$6:$B$68,$A$6:$A$68,"&gt;="&amp;Parametri!G$63)/0.25)))</f>
        <v>5</v>
      </c>
      <c r="Z10" s="132" t="str">
        <f aca="false">IF(W10&lt;Y10,"KO",IF(AND(W10&gt;0,X10=0),"NO RESP","OK"))</f>
        <v>OK</v>
      </c>
      <c r="AA10" s="113" t="n">
        <f aca="false">SUMPRODUCT((Turni!$X$5:$X$27&lt;=$A10)*(Turni!$Y$5:$Y$27&gt;$A10))</f>
        <v>4</v>
      </c>
      <c r="AB10" s="113" t="n">
        <f aca="false">SUMPRODUCT((Turni!$X$5:$X$27&lt;=$A10)*(Turni!$Y$5:$Y$27&gt;$A10)*(Turni!$B$5:$B$27="RESP"))</f>
        <v>1</v>
      </c>
      <c r="AC10" s="131" t="n">
        <f aca="false">IF($A10&lt;Parametri!H$63,0,MAX(Parametri!$B$66,IF(AND($A10&gt;=8/24,$A10&lt;21/24),INDEX(Casse!H$6:H$18,INT($A10*24)-7)+Parametri!$B$17,0)+INT((OreRichieste!H$17-Casse!H$19-Casse!H$25)*$B10/SUMIFS($B$6:$B$68,$A$6:$A$68,"&gt;="&amp;Parametri!H$63)/0.25)))</f>
        <v>4</v>
      </c>
      <c r="AD10" s="132" t="str">
        <f aca="false">IF(AA10&lt;AC10,"KO",IF(AND(AA10&gt;0,AB10=0),"NO RESP","OK"))</f>
        <v>OK</v>
      </c>
      <c r="AE10" s="133" t="s">
        <v>168</v>
      </c>
    </row>
    <row r="11" customFormat="false" ht="15" hidden="false" customHeight="true" outlineLevel="0" collapsed="false">
      <c r="A11" s="129" t="n">
        <v>0.28125</v>
      </c>
      <c r="B11" s="130" t="n">
        <v>2.2</v>
      </c>
      <c r="C11" s="113" t="n">
        <f aca="false">SUMPRODUCT((Turni!$F$5:$F$27&lt;=$A11)*(Turni!$G$5:$G$27&gt;$A11))</f>
        <v>5</v>
      </c>
      <c r="D11" s="113" t="n">
        <f aca="false">SUMPRODUCT((Turni!$F$5:$F$27&lt;=$A11)*(Turni!$G$5:$G$27&gt;$A11)*(Turni!$B$5:$B$27="RESP"))</f>
        <v>3</v>
      </c>
      <c r="E11" s="131" t="n">
        <f aca="false">IF($A11&lt;Parametri!B$63,0,MAX(Parametri!$B$66,IF(AND($A11&gt;=8/24,$A11&lt;21/24),INDEX(Casse!B$6:B$18,INT($A11*24)-7)+Parametri!$B$17,0)+INT((OreRichieste!B$17-Casse!B$19-Casse!B$25)*$B11/SUMIFS($B$6:$B$68,$A$6:$A$68,"&gt;="&amp;Parametri!B$63)/0.25)))</f>
        <v>5</v>
      </c>
      <c r="F11" s="132" t="str">
        <f aca="false">IF(C11&lt;E11,"KO",IF(AND(C11&gt;0,D11=0),"NO RESP","OK"))</f>
        <v>OK</v>
      </c>
      <c r="G11" s="113" t="n">
        <f aca="false">SUMPRODUCT((Turni!$I$5:$I$27&lt;=$A11)*(Turni!$J$5:$J$27&gt;$A11))</f>
        <v>4</v>
      </c>
      <c r="H11" s="113" t="n">
        <f aca="false">SUMPRODUCT((Turni!$I$5:$I$27&lt;=$A11)*(Turni!$J$5:$J$27&gt;$A11)*(Turni!$B$5:$B$27="RESP"))</f>
        <v>1</v>
      </c>
      <c r="I11" s="131" t="n">
        <f aca="false">IF($A11&lt;Parametri!C$63,0,MAX(Parametri!$B$66,IF(AND($A11&gt;=8/24,$A11&lt;21/24),INDEX(Casse!C$6:C$18,INT($A11*24)-7)+Parametri!$B$17,0)+INT((OreRichieste!C$17-Casse!C$19-Casse!C$25)*$B11/SUMIFS($B$6:$B$68,$A$6:$A$68,"&gt;="&amp;Parametri!C$63)/0.25)))</f>
        <v>4</v>
      </c>
      <c r="J11" s="132" t="str">
        <f aca="false">IF(G11&lt;I11,"KO",IF(AND(G11&gt;0,H11=0),"NO RESP","OK"))</f>
        <v>OK</v>
      </c>
      <c r="K11" s="113" t="n">
        <f aca="false">SUMPRODUCT((Turni!$L$5:$L$27&lt;=$A11)*(Turni!$M$5:$M$27&gt;$A11))</f>
        <v>4</v>
      </c>
      <c r="L11" s="113" t="n">
        <f aca="false">SUMPRODUCT((Turni!$L$5:$L$27&lt;=$A11)*(Turni!$M$5:$M$27&gt;$A11)*(Turni!$B$5:$B$27="RESP"))</f>
        <v>1</v>
      </c>
      <c r="M11" s="131" t="n">
        <f aca="false">IF($A11&lt;Parametri!D$63,0,MAX(Parametri!$B$66,IF(AND($A11&gt;=8/24,$A11&lt;21/24),INDEX(Casse!D$6:D$18,INT($A11*24)-7)+Parametri!$B$17,0)+INT((OreRichieste!D$17-Casse!D$19-Casse!D$25)*$B11/SUMIFS($B$6:$B$68,$A$6:$A$68,"&gt;="&amp;Parametri!D$63)/0.25)))</f>
        <v>4</v>
      </c>
      <c r="N11" s="132" t="str">
        <f aca="false">IF(K11&lt;M11,"KO",IF(AND(K11&gt;0,L11=0),"NO RESP","OK"))</f>
        <v>OK</v>
      </c>
      <c r="O11" s="113" t="n">
        <f aca="false">SUMPRODUCT((Turni!$O$5:$O$27&lt;=$A11)*(Turni!$P$5:$P$27&gt;$A11))</f>
        <v>5</v>
      </c>
      <c r="P11" s="113" t="n">
        <f aca="false">SUMPRODUCT((Turni!$O$5:$O$27&lt;=$A11)*(Turni!$P$5:$P$27&gt;$A11)*(Turni!$B$5:$B$27="RESP"))</f>
        <v>3</v>
      </c>
      <c r="Q11" s="131" t="n">
        <f aca="false">IF($A11&lt;Parametri!E$63,0,MAX(Parametri!$B$66,IF(AND($A11&gt;=8/24,$A11&lt;21/24),INDEX(Casse!E$6:E$18,INT($A11*24)-7)+Parametri!$B$17,0)+INT((OreRichieste!E$17-Casse!E$19-Casse!E$25)*$B11/SUMIFS($B$6:$B$68,$A$6:$A$68,"&gt;="&amp;Parametri!E$63)/0.25)))</f>
        <v>5</v>
      </c>
      <c r="R11" s="132" t="str">
        <f aca="false">IF(O11&lt;Q11,"KO",IF(AND(O11&gt;0,P11=0),"NO RESP","OK"))</f>
        <v>OK</v>
      </c>
      <c r="S11" s="113" t="n">
        <f aca="false">SUMPRODUCT((Turni!$R$5:$R$27&lt;=$A11)*(Turni!$S$5:$S$27&gt;$A11))</f>
        <v>4</v>
      </c>
      <c r="T11" s="113" t="n">
        <f aca="false">SUMPRODUCT((Turni!$R$5:$R$27&lt;=$A11)*(Turni!$S$5:$S$27&gt;$A11)*(Turni!$B$5:$B$27="RESP"))</f>
        <v>2</v>
      </c>
      <c r="U11" s="131" t="n">
        <f aca="false">IF($A11&lt;Parametri!F$63,0,MAX(Parametri!$B$66,IF(AND($A11&gt;=8/24,$A11&lt;21/24),INDEX(Casse!F$6:F$18,INT($A11*24)-7)+Parametri!$B$17,0)+INT((OreRichieste!F$17-Casse!F$19-Casse!F$25)*$B11/SUMIFS($B$6:$B$68,$A$6:$A$68,"&gt;="&amp;Parametri!F$63)/0.25)))</f>
        <v>4</v>
      </c>
      <c r="V11" s="132" t="str">
        <f aca="false">IF(S11&lt;U11,"KO",IF(AND(S11&gt;0,T11=0),"NO RESP","OK"))</f>
        <v>OK</v>
      </c>
      <c r="W11" s="113" t="n">
        <f aca="false">SUMPRODUCT((Turni!$U$5:$U$27&lt;=$A11)*(Turni!$V$5:$V$27&gt;$A11))</f>
        <v>5</v>
      </c>
      <c r="X11" s="113" t="n">
        <f aca="false">SUMPRODUCT((Turni!$U$5:$U$27&lt;=$A11)*(Turni!$V$5:$V$27&gt;$A11)*(Turni!$B$5:$B$27="RESP"))</f>
        <v>2</v>
      </c>
      <c r="Y11" s="131" t="n">
        <f aca="false">IF($A11&lt;Parametri!G$63,0,MAX(Parametri!$B$66,IF(AND($A11&gt;=8/24,$A11&lt;21/24),INDEX(Casse!G$6:G$18,INT($A11*24)-7)+Parametri!$B$17,0)+INT((OreRichieste!G$17-Casse!G$19-Casse!G$25)*$B11/SUMIFS($B$6:$B$68,$A$6:$A$68,"&gt;="&amp;Parametri!G$63)/0.25)))</f>
        <v>5</v>
      </c>
      <c r="Z11" s="132" t="str">
        <f aca="false">IF(W11&lt;Y11,"KO",IF(AND(W11&gt;0,X11=0),"NO RESP","OK"))</f>
        <v>OK</v>
      </c>
      <c r="AA11" s="113" t="n">
        <f aca="false">SUMPRODUCT((Turni!$X$5:$X$27&lt;=$A11)*(Turni!$Y$5:$Y$27&gt;$A11))</f>
        <v>4</v>
      </c>
      <c r="AB11" s="113" t="n">
        <f aca="false">SUMPRODUCT((Turni!$X$5:$X$27&lt;=$A11)*(Turni!$Y$5:$Y$27&gt;$A11)*(Turni!$B$5:$B$27="RESP"))</f>
        <v>1</v>
      </c>
      <c r="AC11" s="131" t="n">
        <f aca="false">IF($A11&lt;Parametri!H$63,0,MAX(Parametri!$B$66,IF(AND($A11&gt;=8/24,$A11&lt;21/24),INDEX(Casse!H$6:H$18,INT($A11*24)-7)+Parametri!$B$17,0)+INT((OreRichieste!H$17-Casse!H$19-Casse!H$25)*$B11/SUMIFS($B$6:$B$68,$A$6:$A$68,"&gt;="&amp;Parametri!H$63)/0.25)))</f>
        <v>4</v>
      </c>
      <c r="AD11" s="132" t="str">
        <f aca="false">IF(AA11&lt;AC11,"KO",IF(AND(AA11&gt;0,AB11=0),"NO RESP","OK"))</f>
        <v>OK</v>
      </c>
      <c r="AE11" s="133" t="s">
        <v>169</v>
      </c>
    </row>
    <row r="12" customFormat="false" ht="15" hidden="false" customHeight="true" outlineLevel="0" collapsed="false">
      <c r="A12" s="129" t="n">
        <v>0.291666666666667</v>
      </c>
      <c r="B12" s="130" t="n">
        <v>2.2</v>
      </c>
      <c r="C12" s="113" t="n">
        <f aca="false">SUMPRODUCT((Turni!$F$5:$F$27&lt;=$A12)*(Turni!$G$5:$G$27&gt;$A12))</f>
        <v>5</v>
      </c>
      <c r="D12" s="113" t="n">
        <f aca="false">SUMPRODUCT((Turni!$F$5:$F$27&lt;=$A12)*(Turni!$G$5:$G$27&gt;$A12)*(Turni!$B$5:$B$27="RESP"))</f>
        <v>3</v>
      </c>
      <c r="E12" s="131" t="n">
        <f aca="false">IF($A12&lt;Parametri!B$63,0,MAX(Parametri!$B$66,IF(AND($A12&gt;=8/24,$A12&lt;21/24),INDEX(Casse!B$6:B$18,INT($A12*24)-7)+Parametri!$B$17,0)+INT((OreRichieste!B$17-Casse!B$19-Casse!B$25)*$B12/SUMIFS($B$6:$B$68,$A$6:$A$68,"&gt;="&amp;Parametri!B$63)/0.25)))</f>
        <v>5</v>
      </c>
      <c r="F12" s="132" t="str">
        <f aca="false">IF(C12&lt;E12,"KO",IF(AND(C12&gt;0,D12=0),"NO RESP","OK"))</f>
        <v>OK</v>
      </c>
      <c r="G12" s="113" t="n">
        <f aca="false">SUMPRODUCT((Turni!$I$5:$I$27&lt;=$A12)*(Turni!$J$5:$J$27&gt;$A12))</f>
        <v>4</v>
      </c>
      <c r="H12" s="113" t="n">
        <f aca="false">SUMPRODUCT((Turni!$I$5:$I$27&lt;=$A12)*(Turni!$J$5:$J$27&gt;$A12)*(Turni!$B$5:$B$27="RESP"))</f>
        <v>1</v>
      </c>
      <c r="I12" s="131" t="n">
        <f aca="false">IF($A12&lt;Parametri!C$63,0,MAX(Parametri!$B$66,IF(AND($A12&gt;=8/24,$A12&lt;21/24),INDEX(Casse!C$6:C$18,INT($A12*24)-7)+Parametri!$B$17,0)+INT((OreRichieste!C$17-Casse!C$19-Casse!C$25)*$B12/SUMIFS($B$6:$B$68,$A$6:$A$68,"&gt;="&amp;Parametri!C$63)/0.25)))</f>
        <v>4</v>
      </c>
      <c r="J12" s="132" t="str">
        <f aca="false">IF(G12&lt;I12,"KO",IF(AND(G12&gt;0,H12=0),"NO RESP","OK"))</f>
        <v>OK</v>
      </c>
      <c r="K12" s="113" t="n">
        <f aca="false">SUMPRODUCT((Turni!$L$5:$L$27&lt;=$A12)*(Turni!$M$5:$M$27&gt;$A12))</f>
        <v>4</v>
      </c>
      <c r="L12" s="113" t="n">
        <f aca="false">SUMPRODUCT((Turni!$L$5:$L$27&lt;=$A12)*(Turni!$M$5:$M$27&gt;$A12)*(Turni!$B$5:$B$27="RESP"))</f>
        <v>1</v>
      </c>
      <c r="M12" s="131" t="n">
        <f aca="false">IF($A12&lt;Parametri!D$63,0,MAX(Parametri!$B$66,IF(AND($A12&gt;=8/24,$A12&lt;21/24),INDEX(Casse!D$6:D$18,INT($A12*24)-7)+Parametri!$B$17,0)+INT((OreRichieste!D$17-Casse!D$19-Casse!D$25)*$B12/SUMIFS($B$6:$B$68,$A$6:$A$68,"&gt;="&amp;Parametri!D$63)/0.25)))</f>
        <v>4</v>
      </c>
      <c r="N12" s="132" t="str">
        <f aca="false">IF(K12&lt;M12,"KO",IF(AND(K12&gt;0,L12=0),"NO RESP","OK"))</f>
        <v>OK</v>
      </c>
      <c r="O12" s="113" t="n">
        <f aca="false">SUMPRODUCT((Turni!$O$5:$O$27&lt;=$A12)*(Turni!$P$5:$P$27&gt;$A12))</f>
        <v>5</v>
      </c>
      <c r="P12" s="113" t="n">
        <f aca="false">SUMPRODUCT((Turni!$O$5:$O$27&lt;=$A12)*(Turni!$P$5:$P$27&gt;$A12)*(Turni!$B$5:$B$27="RESP"))</f>
        <v>3</v>
      </c>
      <c r="Q12" s="131" t="n">
        <f aca="false">IF($A12&lt;Parametri!E$63,0,MAX(Parametri!$B$66,IF(AND($A12&gt;=8/24,$A12&lt;21/24),INDEX(Casse!E$6:E$18,INT($A12*24)-7)+Parametri!$B$17,0)+INT((OreRichieste!E$17-Casse!E$19-Casse!E$25)*$B12/SUMIFS($B$6:$B$68,$A$6:$A$68,"&gt;="&amp;Parametri!E$63)/0.25)))</f>
        <v>5</v>
      </c>
      <c r="R12" s="132" t="str">
        <f aca="false">IF(O12&lt;Q12,"KO",IF(AND(O12&gt;0,P12=0),"NO RESP","OK"))</f>
        <v>OK</v>
      </c>
      <c r="S12" s="113" t="n">
        <f aca="false">SUMPRODUCT((Turni!$R$5:$R$27&lt;=$A12)*(Turni!$S$5:$S$27&gt;$A12))</f>
        <v>4</v>
      </c>
      <c r="T12" s="113" t="n">
        <f aca="false">SUMPRODUCT((Turni!$R$5:$R$27&lt;=$A12)*(Turni!$S$5:$S$27&gt;$A12)*(Turni!$B$5:$B$27="RESP"))</f>
        <v>2</v>
      </c>
      <c r="U12" s="131" t="n">
        <f aca="false">IF($A12&lt;Parametri!F$63,0,MAX(Parametri!$B$66,IF(AND($A12&gt;=8/24,$A12&lt;21/24),INDEX(Casse!F$6:F$18,INT($A12*24)-7)+Parametri!$B$17,0)+INT((OreRichieste!F$17-Casse!F$19-Casse!F$25)*$B12/SUMIFS($B$6:$B$68,$A$6:$A$68,"&gt;="&amp;Parametri!F$63)/0.25)))</f>
        <v>4</v>
      </c>
      <c r="V12" s="132" t="str">
        <f aca="false">IF(S12&lt;U12,"KO",IF(AND(S12&gt;0,T12=0),"NO RESP","OK"))</f>
        <v>OK</v>
      </c>
      <c r="W12" s="113" t="n">
        <f aca="false">SUMPRODUCT((Turni!$U$5:$U$27&lt;=$A12)*(Turni!$V$5:$V$27&gt;$A12))</f>
        <v>5</v>
      </c>
      <c r="X12" s="113" t="n">
        <f aca="false">SUMPRODUCT((Turni!$U$5:$U$27&lt;=$A12)*(Turni!$V$5:$V$27&gt;$A12)*(Turni!$B$5:$B$27="RESP"))</f>
        <v>2</v>
      </c>
      <c r="Y12" s="131" t="n">
        <f aca="false">IF($A12&lt;Parametri!G$63,0,MAX(Parametri!$B$66,IF(AND($A12&gt;=8/24,$A12&lt;21/24),INDEX(Casse!G$6:G$18,INT($A12*24)-7)+Parametri!$B$17,0)+INT((OreRichieste!G$17-Casse!G$19-Casse!G$25)*$B12/SUMIFS($B$6:$B$68,$A$6:$A$68,"&gt;="&amp;Parametri!G$63)/0.25)))</f>
        <v>5</v>
      </c>
      <c r="Z12" s="132" t="str">
        <f aca="false">IF(W12&lt;Y12,"KO",IF(AND(W12&gt;0,X12=0),"NO RESP","OK"))</f>
        <v>OK</v>
      </c>
      <c r="AA12" s="113" t="n">
        <f aca="false">SUMPRODUCT((Turni!$X$5:$X$27&lt;=$A12)*(Turni!$Y$5:$Y$27&gt;$A12))</f>
        <v>4</v>
      </c>
      <c r="AB12" s="113" t="n">
        <f aca="false">SUMPRODUCT((Turni!$X$5:$X$27&lt;=$A12)*(Turni!$Y$5:$Y$27&gt;$A12)*(Turni!$B$5:$B$27="RESP"))</f>
        <v>1</v>
      </c>
      <c r="AC12" s="131" t="n">
        <f aca="false">IF($A12&lt;Parametri!H$63,0,MAX(Parametri!$B$66,IF(AND($A12&gt;=8/24,$A12&lt;21/24),INDEX(Casse!H$6:H$18,INT($A12*24)-7)+Parametri!$B$17,0)+INT((OreRichieste!H$17-Casse!H$19-Casse!H$25)*$B12/SUMIFS($B$6:$B$68,$A$6:$A$68,"&gt;="&amp;Parametri!H$63)/0.25)))</f>
        <v>4</v>
      </c>
      <c r="AD12" s="132" t="str">
        <f aca="false">IF(AA12&lt;AC12,"KO",IF(AND(AA12&gt;0,AB12=0),"NO RESP","OK"))</f>
        <v>OK</v>
      </c>
      <c r="AE12" s="133" t="s">
        <v>170</v>
      </c>
    </row>
    <row r="13" customFormat="false" ht="15" hidden="false" customHeight="true" outlineLevel="0" collapsed="false">
      <c r="A13" s="129" t="n">
        <v>0.302083333333333</v>
      </c>
      <c r="B13" s="130" t="n">
        <v>2.2</v>
      </c>
      <c r="C13" s="113" t="n">
        <f aca="false">SUMPRODUCT((Turni!$F$5:$F$27&lt;=$A13)*(Turni!$G$5:$G$27&gt;$A13))</f>
        <v>5</v>
      </c>
      <c r="D13" s="113" t="n">
        <f aca="false">SUMPRODUCT((Turni!$F$5:$F$27&lt;=$A13)*(Turni!$G$5:$G$27&gt;$A13)*(Turni!$B$5:$B$27="RESP"))</f>
        <v>3</v>
      </c>
      <c r="E13" s="131" t="n">
        <f aca="false">IF($A13&lt;Parametri!B$63,0,MAX(Parametri!$B$66,IF(AND($A13&gt;=8/24,$A13&lt;21/24),INDEX(Casse!B$6:B$18,INT($A13*24)-7)+Parametri!$B$17,0)+INT((OreRichieste!B$17-Casse!B$19-Casse!B$25)*$B13/SUMIFS($B$6:$B$68,$A$6:$A$68,"&gt;="&amp;Parametri!B$63)/0.25)))</f>
        <v>5</v>
      </c>
      <c r="F13" s="132" t="str">
        <f aca="false">IF(C13&lt;E13,"KO",IF(AND(C13&gt;0,D13=0),"NO RESP","OK"))</f>
        <v>OK</v>
      </c>
      <c r="G13" s="113" t="n">
        <f aca="false">SUMPRODUCT((Turni!$I$5:$I$27&lt;=$A13)*(Turni!$J$5:$J$27&gt;$A13))</f>
        <v>4</v>
      </c>
      <c r="H13" s="113" t="n">
        <f aca="false">SUMPRODUCT((Turni!$I$5:$I$27&lt;=$A13)*(Turni!$J$5:$J$27&gt;$A13)*(Turni!$B$5:$B$27="RESP"))</f>
        <v>1</v>
      </c>
      <c r="I13" s="131" t="n">
        <f aca="false">IF($A13&lt;Parametri!C$63,0,MAX(Parametri!$B$66,IF(AND($A13&gt;=8/24,$A13&lt;21/24),INDEX(Casse!C$6:C$18,INT($A13*24)-7)+Parametri!$B$17,0)+INT((OreRichieste!C$17-Casse!C$19-Casse!C$25)*$B13/SUMIFS($B$6:$B$68,$A$6:$A$68,"&gt;="&amp;Parametri!C$63)/0.25)))</f>
        <v>4</v>
      </c>
      <c r="J13" s="132" t="str">
        <f aca="false">IF(G13&lt;I13,"KO",IF(AND(G13&gt;0,H13=0),"NO RESP","OK"))</f>
        <v>OK</v>
      </c>
      <c r="K13" s="113" t="n">
        <f aca="false">SUMPRODUCT((Turni!$L$5:$L$27&lt;=$A13)*(Turni!$M$5:$M$27&gt;$A13))</f>
        <v>4</v>
      </c>
      <c r="L13" s="113" t="n">
        <f aca="false">SUMPRODUCT((Turni!$L$5:$L$27&lt;=$A13)*(Turni!$M$5:$M$27&gt;$A13)*(Turni!$B$5:$B$27="RESP"))</f>
        <v>1</v>
      </c>
      <c r="M13" s="131" t="n">
        <f aca="false">IF($A13&lt;Parametri!D$63,0,MAX(Parametri!$B$66,IF(AND($A13&gt;=8/24,$A13&lt;21/24),INDEX(Casse!D$6:D$18,INT($A13*24)-7)+Parametri!$B$17,0)+INT((OreRichieste!D$17-Casse!D$19-Casse!D$25)*$B13/SUMIFS($B$6:$B$68,$A$6:$A$68,"&gt;="&amp;Parametri!D$63)/0.25)))</f>
        <v>4</v>
      </c>
      <c r="N13" s="132" t="str">
        <f aca="false">IF(K13&lt;M13,"KO",IF(AND(K13&gt;0,L13=0),"NO RESP","OK"))</f>
        <v>OK</v>
      </c>
      <c r="O13" s="113" t="n">
        <f aca="false">SUMPRODUCT((Turni!$O$5:$O$27&lt;=$A13)*(Turni!$P$5:$P$27&gt;$A13))</f>
        <v>5</v>
      </c>
      <c r="P13" s="113" t="n">
        <f aca="false">SUMPRODUCT((Turni!$O$5:$O$27&lt;=$A13)*(Turni!$P$5:$P$27&gt;$A13)*(Turni!$B$5:$B$27="RESP"))</f>
        <v>3</v>
      </c>
      <c r="Q13" s="131" t="n">
        <f aca="false">IF($A13&lt;Parametri!E$63,0,MAX(Parametri!$B$66,IF(AND($A13&gt;=8/24,$A13&lt;21/24),INDEX(Casse!E$6:E$18,INT($A13*24)-7)+Parametri!$B$17,0)+INT((OreRichieste!E$17-Casse!E$19-Casse!E$25)*$B13/SUMIFS($B$6:$B$68,$A$6:$A$68,"&gt;="&amp;Parametri!E$63)/0.25)))</f>
        <v>5</v>
      </c>
      <c r="R13" s="132" t="str">
        <f aca="false">IF(O13&lt;Q13,"KO",IF(AND(O13&gt;0,P13=0),"NO RESP","OK"))</f>
        <v>OK</v>
      </c>
      <c r="S13" s="113" t="n">
        <f aca="false">SUMPRODUCT((Turni!$R$5:$R$27&lt;=$A13)*(Turni!$S$5:$S$27&gt;$A13))</f>
        <v>4</v>
      </c>
      <c r="T13" s="113" t="n">
        <f aca="false">SUMPRODUCT((Turni!$R$5:$R$27&lt;=$A13)*(Turni!$S$5:$S$27&gt;$A13)*(Turni!$B$5:$B$27="RESP"))</f>
        <v>2</v>
      </c>
      <c r="U13" s="131" t="n">
        <f aca="false">IF($A13&lt;Parametri!F$63,0,MAX(Parametri!$B$66,IF(AND($A13&gt;=8/24,$A13&lt;21/24),INDEX(Casse!F$6:F$18,INT($A13*24)-7)+Parametri!$B$17,0)+INT((OreRichieste!F$17-Casse!F$19-Casse!F$25)*$B13/SUMIFS($B$6:$B$68,$A$6:$A$68,"&gt;="&amp;Parametri!F$63)/0.25)))</f>
        <v>4</v>
      </c>
      <c r="V13" s="132" t="str">
        <f aca="false">IF(S13&lt;U13,"KO",IF(AND(S13&gt;0,T13=0),"NO RESP","OK"))</f>
        <v>OK</v>
      </c>
      <c r="W13" s="113" t="n">
        <f aca="false">SUMPRODUCT((Turni!$U$5:$U$27&lt;=$A13)*(Turni!$V$5:$V$27&gt;$A13))</f>
        <v>5</v>
      </c>
      <c r="X13" s="113" t="n">
        <f aca="false">SUMPRODUCT((Turni!$U$5:$U$27&lt;=$A13)*(Turni!$V$5:$V$27&gt;$A13)*(Turni!$B$5:$B$27="RESP"))</f>
        <v>2</v>
      </c>
      <c r="Y13" s="131" t="n">
        <f aca="false">IF($A13&lt;Parametri!G$63,0,MAX(Parametri!$B$66,IF(AND($A13&gt;=8/24,$A13&lt;21/24),INDEX(Casse!G$6:G$18,INT($A13*24)-7)+Parametri!$B$17,0)+INT((OreRichieste!G$17-Casse!G$19-Casse!G$25)*$B13/SUMIFS($B$6:$B$68,$A$6:$A$68,"&gt;="&amp;Parametri!G$63)/0.25)))</f>
        <v>5</v>
      </c>
      <c r="Z13" s="132" t="str">
        <f aca="false">IF(W13&lt;Y13,"KO",IF(AND(W13&gt;0,X13=0),"NO RESP","OK"))</f>
        <v>OK</v>
      </c>
      <c r="AA13" s="113" t="n">
        <f aca="false">SUMPRODUCT((Turni!$X$5:$X$27&lt;=$A13)*(Turni!$Y$5:$Y$27&gt;$A13))</f>
        <v>4</v>
      </c>
      <c r="AB13" s="113" t="n">
        <f aca="false">SUMPRODUCT((Turni!$X$5:$X$27&lt;=$A13)*(Turni!$Y$5:$Y$27&gt;$A13)*(Turni!$B$5:$B$27="RESP"))</f>
        <v>1</v>
      </c>
      <c r="AC13" s="131" t="n">
        <f aca="false">IF($A13&lt;Parametri!H$63,0,MAX(Parametri!$B$66,IF(AND($A13&gt;=8/24,$A13&lt;21/24),INDEX(Casse!H$6:H$18,INT($A13*24)-7)+Parametri!$B$17,0)+INT((OreRichieste!H$17-Casse!H$19-Casse!H$25)*$B13/SUMIFS($B$6:$B$68,$A$6:$A$68,"&gt;="&amp;Parametri!H$63)/0.25)))</f>
        <v>4</v>
      </c>
      <c r="AD13" s="132" t="str">
        <f aca="false">IF(AA13&lt;AC13,"KO",IF(AND(AA13&gt;0,AB13=0),"NO RESP","OK"))</f>
        <v>OK</v>
      </c>
      <c r="AE13" s="133" t="s">
        <v>171</v>
      </c>
    </row>
    <row r="14" customFormat="false" ht="15" hidden="false" customHeight="true" outlineLevel="0" collapsed="false">
      <c r="A14" s="129" t="n">
        <v>0.3125</v>
      </c>
      <c r="B14" s="130" t="n">
        <v>2.2</v>
      </c>
      <c r="C14" s="113" t="n">
        <f aca="false">SUMPRODUCT((Turni!$F$5:$F$27&lt;=$A14)*(Turni!$G$5:$G$27&gt;$A14))</f>
        <v>5</v>
      </c>
      <c r="D14" s="113" t="n">
        <f aca="false">SUMPRODUCT((Turni!$F$5:$F$27&lt;=$A14)*(Turni!$G$5:$G$27&gt;$A14)*(Turni!$B$5:$B$27="RESP"))</f>
        <v>3</v>
      </c>
      <c r="E14" s="131" t="n">
        <f aca="false">IF($A14&lt;Parametri!B$63,0,MAX(Parametri!$B$66,IF(AND($A14&gt;=8/24,$A14&lt;21/24),INDEX(Casse!B$6:B$18,INT($A14*24)-7)+Parametri!$B$17,0)+INT((OreRichieste!B$17-Casse!B$19-Casse!B$25)*$B14/SUMIFS($B$6:$B$68,$A$6:$A$68,"&gt;="&amp;Parametri!B$63)/0.25)))</f>
        <v>5</v>
      </c>
      <c r="F14" s="132" t="str">
        <f aca="false">IF(C14&lt;E14,"KO",IF(AND(C14&gt;0,D14=0),"NO RESP","OK"))</f>
        <v>OK</v>
      </c>
      <c r="G14" s="113" t="n">
        <f aca="false">SUMPRODUCT((Turni!$I$5:$I$27&lt;=$A14)*(Turni!$J$5:$J$27&gt;$A14))</f>
        <v>4</v>
      </c>
      <c r="H14" s="113" t="n">
        <f aca="false">SUMPRODUCT((Turni!$I$5:$I$27&lt;=$A14)*(Turni!$J$5:$J$27&gt;$A14)*(Turni!$B$5:$B$27="RESP"))</f>
        <v>1</v>
      </c>
      <c r="I14" s="131" t="n">
        <f aca="false">IF($A14&lt;Parametri!C$63,0,MAX(Parametri!$B$66,IF(AND($A14&gt;=8/24,$A14&lt;21/24),INDEX(Casse!C$6:C$18,INT($A14*24)-7)+Parametri!$B$17,0)+INT((OreRichieste!C$17-Casse!C$19-Casse!C$25)*$B14/SUMIFS($B$6:$B$68,$A$6:$A$68,"&gt;="&amp;Parametri!C$63)/0.25)))</f>
        <v>4</v>
      </c>
      <c r="J14" s="132" t="str">
        <f aca="false">IF(G14&lt;I14,"KO",IF(AND(G14&gt;0,H14=0),"NO RESP","OK"))</f>
        <v>OK</v>
      </c>
      <c r="K14" s="113" t="n">
        <f aca="false">SUMPRODUCT((Turni!$L$5:$L$27&lt;=$A14)*(Turni!$M$5:$M$27&gt;$A14))</f>
        <v>4</v>
      </c>
      <c r="L14" s="113" t="n">
        <f aca="false">SUMPRODUCT((Turni!$L$5:$L$27&lt;=$A14)*(Turni!$M$5:$M$27&gt;$A14)*(Turni!$B$5:$B$27="RESP"))</f>
        <v>1</v>
      </c>
      <c r="M14" s="131" t="n">
        <f aca="false">IF($A14&lt;Parametri!D$63,0,MAX(Parametri!$B$66,IF(AND($A14&gt;=8/24,$A14&lt;21/24),INDEX(Casse!D$6:D$18,INT($A14*24)-7)+Parametri!$B$17,0)+INT((OreRichieste!D$17-Casse!D$19-Casse!D$25)*$B14/SUMIFS($B$6:$B$68,$A$6:$A$68,"&gt;="&amp;Parametri!D$63)/0.25)))</f>
        <v>4</v>
      </c>
      <c r="N14" s="132" t="str">
        <f aca="false">IF(K14&lt;M14,"KO",IF(AND(K14&gt;0,L14=0),"NO RESP","OK"))</f>
        <v>OK</v>
      </c>
      <c r="O14" s="113" t="n">
        <f aca="false">SUMPRODUCT((Turni!$O$5:$O$27&lt;=$A14)*(Turni!$P$5:$P$27&gt;$A14))</f>
        <v>5</v>
      </c>
      <c r="P14" s="113" t="n">
        <f aca="false">SUMPRODUCT((Turni!$O$5:$O$27&lt;=$A14)*(Turni!$P$5:$P$27&gt;$A14)*(Turni!$B$5:$B$27="RESP"))</f>
        <v>3</v>
      </c>
      <c r="Q14" s="131" t="n">
        <f aca="false">IF($A14&lt;Parametri!E$63,0,MAX(Parametri!$B$66,IF(AND($A14&gt;=8/24,$A14&lt;21/24),INDEX(Casse!E$6:E$18,INT($A14*24)-7)+Parametri!$B$17,0)+INT((OreRichieste!E$17-Casse!E$19-Casse!E$25)*$B14/SUMIFS($B$6:$B$68,$A$6:$A$68,"&gt;="&amp;Parametri!E$63)/0.25)))</f>
        <v>5</v>
      </c>
      <c r="R14" s="132" t="str">
        <f aca="false">IF(O14&lt;Q14,"KO",IF(AND(O14&gt;0,P14=0),"NO RESP","OK"))</f>
        <v>OK</v>
      </c>
      <c r="S14" s="113" t="n">
        <f aca="false">SUMPRODUCT((Turni!$R$5:$R$27&lt;=$A14)*(Turni!$S$5:$S$27&gt;$A14))</f>
        <v>4</v>
      </c>
      <c r="T14" s="113" t="n">
        <f aca="false">SUMPRODUCT((Turni!$R$5:$R$27&lt;=$A14)*(Turni!$S$5:$S$27&gt;$A14)*(Turni!$B$5:$B$27="RESP"))</f>
        <v>2</v>
      </c>
      <c r="U14" s="131" t="n">
        <f aca="false">IF($A14&lt;Parametri!F$63,0,MAX(Parametri!$B$66,IF(AND($A14&gt;=8/24,$A14&lt;21/24),INDEX(Casse!F$6:F$18,INT($A14*24)-7)+Parametri!$B$17,0)+INT((OreRichieste!F$17-Casse!F$19-Casse!F$25)*$B14/SUMIFS($B$6:$B$68,$A$6:$A$68,"&gt;="&amp;Parametri!F$63)/0.25)))</f>
        <v>4</v>
      </c>
      <c r="V14" s="132" t="str">
        <f aca="false">IF(S14&lt;U14,"KO",IF(AND(S14&gt;0,T14=0),"NO RESP","OK"))</f>
        <v>OK</v>
      </c>
      <c r="W14" s="113" t="n">
        <f aca="false">SUMPRODUCT((Turni!$U$5:$U$27&lt;=$A14)*(Turni!$V$5:$V$27&gt;$A14))</f>
        <v>5</v>
      </c>
      <c r="X14" s="113" t="n">
        <f aca="false">SUMPRODUCT((Turni!$U$5:$U$27&lt;=$A14)*(Turni!$V$5:$V$27&gt;$A14)*(Turni!$B$5:$B$27="RESP"))</f>
        <v>2</v>
      </c>
      <c r="Y14" s="131" t="n">
        <f aca="false">IF($A14&lt;Parametri!G$63,0,MAX(Parametri!$B$66,IF(AND($A14&gt;=8/24,$A14&lt;21/24),INDEX(Casse!G$6:G$18,INT($A14*24)-7)+Parametri!$B$17,0)+INT((OreRichieste!G$17-Casse!G$19-Casse!G$25)*$B14/SUMIFS($B$6:$B$68,$A$6:$A$68,"&gt;="&amp;Parametri!G$63)/0.25)))</f>
        <v>5</v>
      </c>
      <c r="Z14" s="132" t="str">
        <f aca="false">IF(W14&lt;Y14,"KO",IF(AND(W14&gt;0,X14=0),"NO RESP","OK"))</f>
        <v>OK</v>
      </c>
      <c r="AA14" s="113" t="n">
        <f aca="false">SUMPRODUCT((Turni!$X$5:$X$27&lt;=$A14)*(Turni!$Y$5:$Y$27&gt;$A14))</f>
        <v>4</v>
      </c>
      <c r="AB14" s="113" t="n">
        <f aca="false">SUMPRODUCT((Turni!$X$5:$X$27&lt;=$A14)*(Turni!$Y$5:$Y$27&gt;$A14)*(Turni!$B$5:$B$27="RESP"))</f>
        <v>1</v>
      </c>
      <c r="AC14" s="131" t="n">
        <f aca="false">IF($A14&lt;Parametri!H$63,0,MAX(Parametri!$B$66,IF(AND($A14&gt;=8/24,$A14&lt;21/24),INDEX(Casse!H$6:H$18,INT($A14*24)-7)+Parametri!$B$17,0)+INT((OreRichieste!H$17-Casse!H$19-Casse!H$25)*$B14/SUMIFS($B$6:$B$68,$A$6:$A$68,"&gt;="&amp;Parametri!H$63)/0.25)))</f>
        <v>4</v>
      </c>
      <c r="AD14" s="132" t="str">
        <f aca="false">IF(AA14&lt;AC14,"KO",IF(AND(AA14&gt;0,AB14=0),"NO RESP","OK"))</f>
        <v>OK</v>
      </c>
      <c r="AE14" s="133" t="s">
        <v>172</v>
      </c>
    </row>
    <row r="15" customFormat="false" ht="15" hidden="false" customHeight="true" outlineLevel="0" collapsed="false">
      <c r="A15" s="129" t="n">
        <v>0.322916666666667</v>
      </c>
      <c r="B15" s="130" t="n">
        <v>2.2</v>
      </c>
      <c r="C15" s="113" t="n">
        <f aca="false">SUMPRODUCT((Turni!$F$5:$F$27&lt;=$A15)*(Turni!$G$5:$G$27&gt;$A15))</f>
        <v>5</v>
      </c>
      <c r="D15" s="113" t="n">
        <f aca="false">SUMPRODUCT((Turni!$F$5:$F$27&lt;=$A15)*(Turni!$G$5:$G$27&gt;$A15)*(Turni!$B$5:$B$27="RESP"))</f>
        <v>3</v>
      </c>
      <c r="E15" s="131" t="n">
        <f aca="false">IF($A15&lt;Parametri!B$63,0,MAX(Parametri!$B$66,IF(AND($A15&gt;=8/24,$A15&lt;21/24),INDEX(Casse!B$6:B$18,INT($A15*24)-7)+Parametri!$B$17,0)+INT((OreRichieste!B$17-Casse!B$19-Casse!B$25)*$B15/SUMIFS($B$6:$B$68,$A$6:$A$68,"&gt;="&amp;Parametri!B$63)/0.25)))</f>
        <v>5</v>
      </c>
      <c r="F15" s="132" t="str">
        <f aca="false">IF(C15&lt;E15,"KO",IF(AND(C15&gt;0,D15=0),"NO RESP","OK"))</f>
        <v>OK</v>
      </c>
      <c r="G15" s="113" t="n">
        <f aca="false">SUMPRODUCT((Turni!$I$5:$I$27&lt;=$A15)*(Turni!$J$5:$J$27&gt;$A15))</f>
        <v>4</v>
      </c>
      <c r="H15" s="113" t="n">
        <f aca="false">SUMPRODUCT((Turni!$I$5:$I$27&lt;=$A15)*(Turni!$J$5:$J$27&gt;$A15)*(Turni!$B$5:$B$27="RESP"))</f>
        <v>1</v>
      </c>
      <c r="I15" s="131" t="n">
        <f aca="false">IF($A15&lt;Parametri!C$63,0,MAX(Parametri!$B$66,IF(AND($A15&gt;=8/24,$A15&lt;21/24),INDEX(Casse!C$6:C$18,INT($A15*24)-7)+Parametri!$B$17,0)+INT((OreRichieste!C$17-Casse!C$19-Casse!C$25)*$B15/SUMIFS($B$6:$B$68,$A$6:$A$68,"&gt;="&amp;Parametri!C$63)/0.25)))</f>
        <v>4</v>
      </c>
      <c r="J15" s="132" t="str">
        <f aca="false">IF(G15&lt;I15,"KO",IF(AND(G15&gt;0,H15=0),"NO RESP","OK"))</f>
        <v>OK</v>
      </c>
      <c r="K15" s="113" t="n">
        <f aca="false">SUMPRODUCT((Turni!$L$5:$L$27&lt;=$A15)*(Turni!$M$5:$M$27&gt;$A15))</f>
        <v>4</v>
      </c>
      <c r="L15" s="113" t="n">
        <f aca="false">SUMPRODUCT((Turni!$L$5:$L$27&lt;=$A15)*(Turni!$M$5:$M$27&gt;$A15)*(Turni!$B$5:$B$27="RESP"))</f>
        <v>1</v>
      </c>
      <c r="M15" s="131" t="n">
        <f aca="false">IF($A15&lt;Parametri!D$63,0,MAX(Parametri!$B$66,IF(AND($A15&gt;=8/24,$A15&lt;21/24),INDEX(Casse!D$6:D$18,INT($A15*24)-7)+Parametri!$B$17,0)+INT((OreRichieste!D$17-Casse!D$19-Casse!D$25)*$B15/SUMIFS($B$6:$B$68,$A$6:$A$68,"&gt;="&amp;Parametri!D$63)/0.25)))</f>
        <v>4</v>
      </c>
      <c r="N15" s="132" t="str">
        <f aca="false">IF(K15&lt;M15,"KO",IF(AND(K15&gt;0,L15=0),"NO RESP","OK"))</f>
        <v>OK</v>
      </c>
      <c r="O15" s="113" t="n">
        <f aca="false">SUMPRODUCT((Turni!$O$5:$O$27&lt;=$A15)*(Turni!$P$5:$P$27&gt;$A15))</f>
        <v>5</v>
      </c>
      <c r="P15" s="113" t="n">
        <f aca="false">SUMPRODUCT((Turni!$O$5:$O$27&lt;=$A15)*(Turni!$P$5:$P$27&gt;$A15)*(Turni!$B$5:$B$27="RESP"))</f>
        <v>3</v>
      </c>
      <c r="Q15" s="131" t="n">
        <f aca="false">IF($A15&lt;Parametri!E$63,0,MAX(Parametri!$B$66,IF(AND($A15&gt;=8/24,$A15&lt;21/24),INDEX(Casse!E$6:E$18,INT($A15*24)-7)+Parametri!$B$17,0)+INT((OreRichieste!E$17-Casse!E$19-Casse!E$25)*$B15/SUMIFS($B$6:$B$68,$A$6:$A$68,"&gt;="&amp;Parametri!E$63)/0.25)))</f>
        <v>5</v>
      </c>
      <c r="R15" s="132" t="str">
        <f aca="false">IF(O15&lt;Q15,"KO",IF(AND(O15&gt;0,P15=0),"NO RESP","OK"))</f>
        <v>OK</v>
      </c>
      <c r="S15" s="113" t="n">
        <f aca="false">SUMPRODUCT((Turni!$R$5:$R$27&lt;=$A15)*(Turni!$S$5:$S$27&gt;$A15))</f>
        <v>4</v>
      </c>
      <c r="T15" s="113" t="n">
        <f aca="false">SUMPRODUCT((Turni!$R$5:$R$27&lt;=$A15)*(Turni!$S$5:$S$27&gt;$A15)*(Turni!$B$5:$B$27="RESP"))</f>
        <v>2</v>
      </c>
      <c r="U15" s="131" t="n">
        <f aca="false">IF($A15&lt;Parametri!F$63,0,MAX(Parametri!$B$66,IF(AND($A15&gt;=8/24,$A15&lt;21/24),INDEX(Casse!F$6:F$18,INT($A15*24)-7)+Parametri!$B$17,0)+INT((OreRichieste!F$17-Casse!F$19-Casse!F$25)*$B15/SUMIFS($B$6:$B$68,$A$6:$A$68,"&gt;="&amp;Parametri!F$63)/0.25)))</f>
        <v>4</v>
      </c>
      <c r="V15" s="132" t="str">
        <f aca="false">IF(S15&lt;U15,"KO",IF(AND(S15&gt;0,T15=0),"NO RESP","OK"))</f>
        <v>OK</v>
      </c>
      <c r="W15" s="113" t="n">
        <f aca="false">SUMPRODUCT((Turni!$U$5:$U$27&lt;=$A15)*(Turni!$V$5:$V$27&gt;$A15))</f>
        <v>5</v>
      </c>
      <c r="X15" s="113" t="n">
        <f aca="false">SUMPRODUCT((Turni!$U$5:$U$27&lt;=$A15)*(Turni!$V$5:$V$27&gt;$A15)*(Turni!$B$5:$B$27="RESP"))</f>
        <v>2</v>
      </c>
      <c r="Y15" s="131" t="n">
        <f aca="false">IF($A15&lt;Parametri!G$63,0,MAX(Parametri!$B$66,IF(AND($A15&gt;=8/24,$A15&lt;21/24),INDEX(Casse!G$6:G$18,INT($A15*24)-7)+Parametri!$B$17,0)+INT((OreRichieste!G$17-Casse!G$19-Casse!G$25)*$B15/SUMIFS($B$6:$B$68,$A$6:$A$68,"&gt;="&amp;Parametri!G$63)/0.25)))</f>
        <v>5</v>
      </c>
      <c r="Z15" s="132" t="str">
        <f aca="false">IF(W15&lt;Y15,"KO",IF(AND(W15&gt;0,X15=0),"NO RESP","OK"))</f>
        <v>OK</v>
      </c>
      <c r="AA15" s="113" t="n">
        <f aca="false">SUMPRODUCT((Turni!$X$5:$X$27&lt;=$A15)*(Turni!$Y$5:$Y$27&gt;$A15))</f>
        <v>4</v>
      </c>
      <c r="AB15" s="113" t="n">
        <f aca="false">SUMPRODUCT((Turni!$X$5:$X$27&lt;=$A15)*(Turni!$Y$5:$Y$27&gt;$A15)*(Turni!$B$5:$B$27="RESP"))</f>
        <v>1</v>
      </c>
      <c r="AC15" s="131" t="n">
        <f aca="false">IF($A15&lt;Parametri!H$63,0,MAX(Parametri!$B$66,IF(AND($A15&gt;=8/24,$A15&lt;21/24),INDEX(Casse!H$6:H$18,INT($A15*24)-7)+Parametri!$B$17,0)+INT((OreRichieste!H$17-Casse!H$19-Casse!H$25)*$B15/SUMIFS($B$6:$B$68,$A$6:$A$68,"&gt;="&amp;Parametri!H$63)/0.25)))</f>
        <v>4</v>
      </c>
      <c r="AD15" s="132" t="str">
        <f aca="false">IF(AA15&lt;AC15,"KO",IF(AND(AA15&gt;0,AB15=0),"NO RESP","OK"))</f>
        <v>OK</v>
      </c>
      <c r="AE15" s="133" t="s">
        <v>173</v>
      </c>
    </row>
    <row r="16" customFormat="false" ht="15" hidden="false" customHeight="true" outlineLevel="0" collapsed="false">
      <c r="A16" s="129" t="n">
        <v>0.333333333333333</v>
      </c>
      <c r="B16" s="130" t="n">
        <v>1.7</v>
      </c>
      <c r="C16" s="113" t="n">
        <f aca="false">SUMPRODUCT((Turni!$F$5:$F$27&lt;=$A16)*(Turni!$G$5:$G$27&gt;$A16))</f>
        <v>7</v>
      </c>
      <c r="D16" s="113" t="n">
        <f aca="false">SUMPRODUCT((Turni!$F$5:$F$27&lt;=$A16)*(Turni!$G$5:$G$27&gt;$A16)*(Turni!$B$5:$B$27="RESP"))</f>
        <v>3</v>
      </c>
      <c r="E16" s="131" t="n">
        <f aca="false">IF($A16&lt;Parametri!B$63,0,MAX(Parametri!$B$66,IF(AND($A16&gt;=8/24,$A16&lt;21/24),INDEX(Casse!B$6:B$18,INT($A16*24)-7)+Parametri!$B$17,0)+INT((OreRichieste!B$17-Casse!B$19-Casse!B$25)*$B16/SUMIFS($B$6:$B$68,$A$6:$A$68,"&gt;="&amp;Parametri!B$63)/0.25)))</f>
        <v>7</v>
      </c>
      <c r="F16" s="132" t="str">
        <f aca="false">IF(C16&lt;E16,"KO",IF(AND(C16&gt;0,D16=0),"NO RESP","OK"))</f>
        <v>OK</v>
      </c>
      <c r="G16" s="113" t="n">
        <f aca="false">SUMPRODUCT((Turni!$I$5:$I$27&lt;=$A16)*(Turni!$J$5:$J$27&gt;$A16))</f>
        <v>5</v>
      </c>
      <c r="H16" s="113" t="n">
        <f aca="false">SUMPRODUCT((Turni!$I$5:$I$27&lt;=$A16)*(Turni!$J$5:$J$27&gt;$A16)*(Turni!$B$5:$B$27="RESP"))</f>
        <v>1</v>
      </c>
      <c r="I16" s="131" t="n">
        <f aca="false">IF($A16&lt;Parametri!C$63,0,MAX(Parametri!$B$66,IF(AND($A16&gt;=8/24,$A16&lt;21/24),INDEX(Casse!C$6:C$18,INT($A16*24)-7)+Parametri!$B$17,0)+INT((OreRichieste!C$17-Casse!C$19-Casse!C$25)*$B16/SUMIFS($B$6:$B$68,$A$6:$A$68,"&gt;="&amp;Parametri!C$63)/0.25)))</f>
        <v>5</v>
      </c>
      <c r="J16" s="132" t="str">
        <f aca="false">IF(G16&lt;I16,"KO",IF(AND(G16&gt;0,H16=0),"NO RESP","OK"))</f>
        <v>OK</v>
      </c>
      <c r="K16" s="113" t="n">
        <f aca="false">SUMPRODUCT((Turni!$L$5:$L$27&lt;=$A16)*(Turni!$M$5:$M$27&gt;$A16))</f>
        <v>5</v>
      </c>
      <c r="L16" s="113" t="n">
        <f aca="false">SUMPRODUCT((Turni!$L$5:$L$27&lt;=$A16)*(Turni!$M$5:$M$27&gt;$A16)*(Turni!$B$5:$B$27="RESP"))</f>
        <v>1</v>
      </c>
      <c r="M16" s="131" t="n">
        <f aca="false">IF($A16&lt;Parametri!D$63,0,MAX(Parametri!$B$66,IF(AND($A16&gt;=8/24,$A16&lt;21/24),INDEX(Casse!D$6:D$18,INT($A16*24)-7)+Parametri!$B$17,0)+INT((OreRichieste!D$17-Casse!D$19-Casse!D$25)*$B16/SUMIFS($B$6:$B$68,$A$6:$A$68,"&gt;="&amp;Parametri!D$63)/0.25)))</f>
        <v>5</v>
      </c>
      <c r="N16" s="132" t="str">
        <f aca="false">IF(K16&lt;M16,"KO",IF(AND(K16&gt;0,L16=0),"NO RESP","OK"))</f>
        <v>OK</v>
      </c>
      <c r="O16" s="113" t="n">
        <f aca="false">SUMPRODUCT((Turni!$O$5:$O$27&lt;=$A16)*(Turni!$P$5:$P$27&gt;$A16))</f>
        <v>6</v>
      </c>
      <c r="P16" s="113" t="n">
        <f aca="false">SUMPRODUCT((Turni!$O$5:$O$27&lt;=$A16)*(Turni!$P$5:$P$27&gt;$A16)*(Turni!$B$5:$B$27="RESP"))</f>
        <v>3</v>
      </c>
      <c r="Q16" s="131" t="n">
        <f aca="false">IF($A16&lt;Parametri!E$63,0,MAX(Parametri!$B$66,IF(AND($A16&gt;=8/24,$A16&lt;21/24),INDEX(Casse!E$6:E$18,INT($A16*24)-7)+Parametri!$B$17,0)+INT((OreRichieste!E$17-Casse!E$19-Casse!E$25)*$B16/SUMIFS($B$6:$B$68,$A$6:$A$68,"&gt;="&amp;Parametri!E$63)/0.25)))</f>
        <v>6</v>
      </c>
      <c r="R16" s="132" t="str">
        <f aca="false">IF(O16&lt;Q16,"KO",IF(AND(O16&gt;0,P16=0),"NO RESP","OK"))</f>
        <v>OK</v>
      </c>
      <c r="S16" s="113" t="n">
        <f aca="false">SUMPRODUCT((Turni!$R$5:$R$27&lt;=$A16)*(Turni!$S$5:$S$27&gt;$A16))</f>
        <v>6</v>
      </c>
      <c r="T16" s="113" t="n">
        <f aca="false">SUMPRODUCT((Turni!$R$5:$R$27&lt;=$A16)*(Turni!$S$5:$S$27&gt;$A16)*(Turni!$B$5:$B$27="RESP"))</f>
        <v>2</v>
      </c>
      <c r="U16" s="131" t="n">
        <f aca="false">IF($A16&lt;Parametri!F$63,0,MAX(Parametri!$B$66,IF(AND($A16&gt;=8/24,$A16&lt;21/24),INDEX(Casse!F$6:F$18,INT($A16*24)-7)+Parametri!$B$17,0)+INT((OreRichieste!F$17-Casse!F$19-Casse!F$25)*$B16/SUMIFS($B$6:$B$68,$A$6:$A$68,"&gt;="&amp;Parametri!F$63)/0.25)))</f>
        <v>6</v>
      </c>
      <c r="V16" s="132" t="str">
        <f aca="false">IF(S16&lt;U16,"KO",IF(AND(S16&gt;0,T16=0),"NO RESP","OK"))</f>
        <v>OK</v>
      </c>
      <c r="W16" s="113" t="n">
        <f aca="false">SUMPRODUCT((Turni!$U$5:$U$27&lt;=$A16)*(Turni!$V$5:$V$27&gt;$A16))</f>
        <v>7</v>
      </c>
      <c r="X16" s="113" t="n">
        <f aca="false">SUMPRODUCT((Turni!$U$5:$U$27&lt;=$A16)*(Turni!$V$5:$V$27&gt;$A16)*(Turni!$B$5:$B$27="RESP"))</f>
        <v>3</v>
      </c>
      <c r="Y16" s="131" t="n">
        <f aca="false">IF($A16&lt;Parametri!G$63,0,MAX(Parametri!$B$66,IF(AND($A16&gt;=8/24,$A16&lt;21/24),INDEX(Casse!G$6:G$18,INT($A16*24)-7)+Parametri!$B$17,0)+INT((OreRichieste!G$17-Casse!G$19-Casse!G$25)*$B16/SUMIFS($B$6:$B$68,$A$6:$A$68,"&gt;="&amp;Parametri!G$63)/0.25)))</f>
        <v>7</v>
      </c>
      <c r="Z16" s="132" t="str">
        <f aca="false">IF(W16&lt;Y16,"KO",IF(AND(W16&gt;0,X16=0),"NO RESP","OK"))</f>
        <v>OK</v>
      </c>
      <c r="AA16" s="113" t="n">
        <f aca="false">SUMPRODUCT((Turni!$X$5:$X$27&lt;=$A16)*(Turni!$Y$5:$Y$27&gt;$A16))</f>
        <v>5</v>
      </c>
      <c r="AB16" s="113" t="n">
        <f aca="false">SUMPRODUCT((Turni!$X$5:$X$27&lt;=$A16)*(Turni!$Y$5:$Y$27&gt;$A16)*(Turni!$B$5:$B$27="RESP"))</f>
        <v>2</v>
      </c>
      <c r="AC16" s="131" t="n">
        <f aca="false">IF($A16&lt;Parametri!H$63,0,MAX(Parametri!$B$66,IF(AND($A16&gt;=8/24,$A16&lt;21/24),INDEX(Casse!H$6:H$18,INT($A16*24)-7)+Parametri!$B$17,0)+INT((OreRichieste!H$17-Casse!H$19-Casse!H$25)*$B16/SUMIFS($B$6:$B$68,$A$6:$A$68,"&gt;="&amp;Parametri!H$63)/0.25)))</f>
        <v>5</v>
      </c>
      <c r="AD16" s="132" t="str">
        <f aca="false">IF(AA16&lt;AC16,"KO",IF(AND(AA16&gt;0,AB16=0),"NO RESP","OK"))</f>
        <v>OK</v>
      </c>
      <c r="AE16" s="133" t="s">
        <v>174</v>
      </c>
    </row>
    <row r="17" customFormat="false" ht="15" hidden="false" customHeight="true" outlineLevel="0" collapsed="false">
      <c r="A17" s="129" t="n">
        <v>0.34375</v>
      </c>
      <c r="B17" s="130" t="n">
        <v>1.7</v>
      </c>
      <c r="C17" s="113" t="n">
        <f aca="false">SUMPRODUCT((Turni!$F$5:$F$27&lt;=$A17)*(Turni!$G$5:$G$27&gt;$A17))</f>
        <v>7</v>
      </c>
      <c r="D17" s="113" t="n">
        <f aca="false">SUMPRODUCT((Turni!$F$5:$F$27&lt;=$A17)*(Turni!$G$5:$G$27&gt;$A17)*(Turni!$B$5:$B$27="RESP"))</f>
        <v>3</v>
      </c>
      <c r="E17" s="131" t="n">
        <f aca="false">IF($A17&lt;Parametri!B$63,0,MAX(Parametri!$B$66,IF(AND($A17&gt;=8/24,$A17&lt;21/24),INDEX(Casse!B$6:B$18,INT($A17*24)-7)+Parametri!$B$17,0)+INT((OreRichieste!B$17-Casse!B$19-Casse!B$25)*$B17/SUMIFS($B$6:$B$68,$A$6:$A$68,"&gt;="&amp;Parametri!B$63)/0.25)))</f>
        <v>7</v>
      </c>
      <c r="F17" s="132" t="str">
        <f aca="false">IF(C17&lt;E17,"KO",IF(AND(C17&gt;0,D17=0),"NO RESP","OK"))</f>
        <v>OK</v>
      </c>
      <c r="G17" s="113" t="n">
        <f aca="false">SUMPRODUCT((Turni!$I$5:$I$27&lt;=$A17)*(Turni!$J$5:$J$27&gt;$A17))</f>
        <v>5</v>
      </c>
      <c r="H17" s="113" t="n">
        <f aca="false">SUMPRODUCT((Turni!$I$5:$I$27&lt;=$A17)*(Turni!$J$5:$J$27&gt;$A17)*(Turni!$B$5:$B$27="RESP"))</f>
        <v>1</v>
      </c>
      <c r="I17" s="131" t="n">
        <f aca="false">IF($A17&lt;Parametri!C$63,0,MAX(Parametri!$B$66,IF(AND($A17&gt;=8/24,$A17&lt;21/24),INDEX(Casse!C$6:C$18,INT($A17*24)-7)+Parametri!$B$17,0)+INT((OreRichieste!C$17-Casse!C$19-Casse!C$25)*$B17/SUMIFS($B$6:$B$68,$A$6:$A$68,"&gt;="&amp;Parametri!C$63)/0.25)))</f>
        <v>5</v>
      </c>
      <c r="J17" s="132" t="str">
        <f aca="false">IF(G17&lt;I17,"KO",IF(AND(G17&gt;0,H17=0),"NO RESP","OK"))</f>
        <v>OK</v>
      </c>
      <c r="K17" s="113" t="n">
        <f aca="false">SUMPRODUCT((Turni!$L$5:$L$27&lt;=$A17)*(Turni!$M$5:$M$27&gt;$A17))</f>
        <v>5</v>
      </c>
      <c r="L17" s="113" t="n">
        <f aca="false">SUMPRODUCT((Turni!$L$5:$L$27&lt;=$A17)*(Turni!$M$5:$M$27&gt;$A17)*(Turni!$B$5:$B$27="RESP"))</f>
        <v>1</v>
      </c>
      <c r="M17" s="131" t="n">
        <f aca="false">IF($A17&lt;Parametri!D$63,0,MAX(Parametri!$B$66,IF(AND($A17&gt;=8/24,$A17&lt;21/24),INDEX(Casse!D$6:D$18,INT($A17*24)-7)+Parametri!$B$17,0)+INT((OreRichieste!D$17-Casse!D$19-Casse!D$25)*$B17/SUMIFS($B$6:$B$68,$A$6:$A$68,"&gt;="&amp;Parametri!D$63)/0.25)))</f>
        <v>5</v>
      </c>
      <c r="N17" s="132" t="str">
        <f aca="false">IF(K17&lt;M17,"KO",IF(AND(K17&gt;0,L17=0),"NO RESP","OK"))</f>
        <v>OK</v>
      </c>
      <c r="O17" s="113" t="n">
        <f aca="false">SUMPRODUCT((Turni!$O$5:$O$27&lt;=$A17)*(Turni!$P$5:$P$27&gt;$A17))</f>
        <v>6</v>
      </c>
      <c r="P17" s="113" t="n">
        <f aca="false">SUMPRODUCT((Turni!$O$5:$O$27&lt;=$A17)*(Turni!$P$5:$P$27&gt;$A17)*(Turni!$B$5:$B$27="RESP"))</f>
        <v>3</v>
      </c>
      <c r="Q17" s="131" t="n">
        <f aca="false">IF($A17&lt;Parametri!E$63,0,MAX(Parametri!$B$66,IF(AND($A17&gt;=8/24,$A17&lt;21/24),INDEX(Casse!E$6:E$18,INT($A17*24)-7)+Parametri!$B$17,0)+INT((OreRichieste!E$17-Casse!E$19-Casse!E$25)*$B17/SUMIFS($B$6:$B$68,$A$6:$A$68,"&gt;="&amp;Parametri!E$63)/0.25)))</f>
        <v>6</v>
      </c>
      <c r="R17" s="132" t="str">
        <f aca="false">IF(O17&lt;Q17,"KO",IF(AND(O17&gt;0,P17=0),"NO RESP","OK"))</f>
        <v>OK</v>
      </c>
      <c r="S17" s="113" t="n">
        <f aca="false">SUMPRODUCT((Turni!$R$5:$R$27&lt;=$A17)*(Turni!$S$5:$S$27&gt;$A17))</f>
        <v>6</v>
      </c>
      <c r="T17" s="113" t="n">
        <f aca="false">SUMPRODUCT((Turni!$R$5:$R$27&lt;=$A17)*(Turni!$S$5:$S$27&gt;$A17)*(Turni!$B$5:$B$27="RESP"))</f>
        <v>2</v>
      </c>
      <c r="U17" s="131" t="n">
        <f aca="false">IF($A17&lt;Parametri!F$63,0,MAX(Parametri!$B$66,IF(AND($A17&gt;=8/24,$A17&lt;21/24),INDEX(Casse!F$6:F$18,INT($A17*24)-7)+Parametri!$B$17,0)+INT((OreRichieste!F$17-Casse!F$19-Casse!F$25)*$B17/SUMIFS($B$6:$B$68,$A$6:$A$68,"&gt;="&amp;Parametri!F$63)/0.25)))</f>
        <v>6</v>
      </c>
      <c r="V17" s="132" t="str">
        <f aca="false">IF(S17&lt;U17,"KO",IF(AND(S17&gt;0,T17=0),"NO RESP","OK"))</f>
        <v>OK</v>
      </c>
      <c r="W17" s="113" t="n">
        <f aca="false">SUMPRODUCT((Turni!$U$5:$U$27&lt;=$A17)*(Turni!$V$5:$V$27&gt;$A17))</f>
        <v>7</v>
      </c>
      <c r="X17" s="113" t="n">
        <f aca="false">SUMPRODUCT((Turni!$U$5:$U$27&lt;=$A17)*(Turni!$V$5:$V$27&gt;$A17)*(Turni!$B$5:$B$27="RESP"))</f>
        <v>3</v>
      </c>
      <c r="Y17" s="131" t="n">
        <f aca="false">IF($A17&lt;Parametri!G$63,0,MAX(Parametri!$B$66,IF(AND($A17&gt;=8/24,$A17&lt;21/24),INDEX(Casse!G$6:G$18,INT($A17*24)-7)+Parametri!$B$17,0)+INT((OreRichieste!G$17-Casse!G$19-Casse!G$25)*$B17/SUMIFS($B$6:$B$68,$A$6:$A$68,"&gt;="&amp;Parametri!G$63)/0.25)))</f>
        <v>7</v>
      </c>
      <c r="Z17" s="132" t="str">
        <f aca="false">IF(W17&lt;Y17,"KO",IF(AND(W17&gt;0,X17=0),"NO RESP","OK"))</f>
        <v>OK</v>
      </c>
      <c r="AA17" s="113" t="n">
        <f aca="false">SUMPRODUCT((Turni!$X$5:$X$27&lt;=$A17)*(Turni!$Y$5:$Y$27&gt;$A17))</f>
        <v>5</v>
      </c>
      <c r="AB17" s="113" t="n">
        <f aca="false">SUMPRODUCT((Turni!$X$5:$X$27&lt;=$A17)*(Turni!$Y$5:$Y$27&gt;$A17)*(Turni!$B$5:$B$27="RESP"))</f>
        <v>2</v>
      </c>
      <c r="AC17" s="131" t="n">
        <f aca="false">IF($A17&lt;Parametri!H$63,0,MAX(Parametri!$B$66,IF(AND($A17&gt;=8/24,$A17&lt;21/24),INDEX(Casse!H$6:H$18,INT($A17*24)-7)+Parametri!$B$17,0)+INT((OreRichieste!H$17-Casse!H$19-Casse!H$25)*$B17/SUMIFS($B$6:$B$68,$A$6:$A$68,"&gt;="&amp;Parametri!H$63)/0.25)))</f>
        <v>5</v>
      </c>
      <c r="AD17" s="132" t="str">
        <f aca="false">IF(AA17&lt;AC17,"KO",IF(AND(AA17&gt;0,AB17=0),"NO RESP","OK"))</f>
        <v>OK</v>
      </c>
      <c r="AE17" s="133" t="s">
        <v>175</v>
      </c>
    </row>
    <row r="18" customFormat="false" ht="15" hidden="false" customHeight="true" outlineLevel="0" collapsed="false">
      <c r="A18" s="129" t="n">
        <v>0.354166666666667</v>
      </c>
      <c r="B18" s="130" t="n">
        <v>1.7</v>
      </c>
      <c r="C18" s="113" t="n">
        <f aca="false">SUMPRODUCT((Turni!$F$5:$F$27&lt;=$A18)*(Turni!$G$5:$G$27&gt;$A18))</f>
        <v>7</v>
      </c>
      <c r="D18" s="113" t="n">
        <f aca="false">SUMPRODUCT((Turni!$F$5:$F$27&lt;=$A18)*(Turni!$G$5:$G$27&gt;$A18)*(Turni!$B$5:$B$27="RESP"))</f>
        <v>3</v>
      </c>
      <c r="E18" s="131" t="n">
        <f aca="false">IF($A18&lt;Parametri!B$63,0,MAX(Parametri!$B$66,IF(AND($A18&gt;=8/24,$A18&lt;21/24),INDEX(Casse!B$6:B$18,INT($A18*24)-7)+Parametri!$B$17,0)+INT((OreRichieste!B$17-Casse!B$19-Casse!B$25)*$B18/SUMIFS($B$6:$B$68,$A$6:$A$68,"&gt;="&amp;Parametri!B$63)/0.25)))</f>
        <v>7</v>
      </c>
      <c r="F18" s="132" t="str">
        <f aca="false">IF(C18&lt;E18,"KO",IF(AND(C18&gt;0,D18=0),"NO RESP","OK"))</f>
        <v>OK</v>
      </c>
      <c r="G18" s="113" t="n">
        <f aca="false">SUMPRODUCT((Turni!$I$5:$I$27&lt;=$A18)*(Turni!$J$5:$J$27&gt;$A18))</f>
        <v>5</v>
      </c>
      <c r="H18" s="113" t="n">
        <f aca="false">SUMPRODUCT((Turni!$I$5:$I$27&lt;=$A18)*(Turni!$J$5:$J$27&gt;$A18)*(Turni!$B$5:$B$27="RESP"))</f>
        <v>1</v>
      </c>
      <c r="I18" s="131" t="n">
        <f aca="false">IF($A18&lt;Parametri!C$63,0,MAX(Parametri!$B$66,IF(AND($A18&gt;=8/24,$A18&lt;21/24),INDEX(Casse!C$6:C$18,INT($A18*24)-7)+Parametri!$B$17,0)+INT((OreRichieste!C$17-Casse!C$19-Casse!C$25)*$B18/SUMIFS($B$6:$B$68,$A$6:$A$68,"&gt;="&amp;Parametri!C$63)/0.25)))</f>
        <v>5</v>
      </c>
      <c r="J18" s="132" t="str">
        <f aca="false">IF(G18&lt;I18,"KO",IF(AND(G18&gt;0,H18=0),"NO RESP","OK"))</f>
        <v>OK</v>
      </c>
      <c r="K18" s="113" t="n">
        <f aca="false">SUMPRODUCT((Turni!$L$5:$L$27&lt;=$A18)*(Turni!$M$5:$M$27&gt;$A18))</f>
        <v>6</v>
      </c>
      <c r="L18" s="113" t="n">
        <f aca="false">SUMPRODUCT((Turni!$L$5:$L$27&lt;=$A18)*(Turni!$M$5:$M$27&gt;$A18)*(Turni!$B$5:$B$27="RESP"))</f>
        <v>1</v>
      </c>
      <c r="M18" s="131" t="n">
        <f aca="false">IF($A18&lt;Parametri!D$63,0,MAX(Parametri!$B$66,IF(AND($A18&gt;=8/24,$A18&lt;21/24),INDEX(Casse!D$6:D$18,INT($A18*24)-7)+Parametri!$B$17,0)+INT((OreRichieste!D$17-Casse!D$19-Casse!D$25)*$B18/SUMIFS($B$6:$B$68,$A$6:$A$68,"&gt;="&amp;Parametri!D$63)/0.25)))</f>
        <v>5</v>
      </c>
      <c r="N18" s="132" t="str">
        <f aca="false">IF(K18&lt;M18,"KO",IF(AND(K18&gt;0,L18=0),"NO RESP","OK"))</f>
        <v>OK</v>
      </c>
      <c r="O18" s="113" t="n">
        <f aca="false">SUMPRODUCT((Turni!$O$5:$O$27&lt;=$A18)*(Turni!$P$5:$P$27&gt;$A18))</f>
        <v>6</v>
      </c>
      <c r="P18" s="113" t="n">
        <f aca="false">SUMPRODUCT((Turni!$O$5:$O$27&lt;=$A18)*(Turni!$P$5:$P$27&gt;$A18)*(Turni!$B$5:$B$27="RESP"))</f>
        <v>3</v>
      </c>
      <c r="Q18" s="131" t="n">
        <f aca="false">IF($A18&lt;Parametri!E$63,0,MAX(Parametri!$B$66,IF(AND($A18&gt;=8/24,$A18&lt;21/24),INDEX(Casse!E$6:E$18,INT($A18*24)-7)+Parametri!$B$17,0)+INT((OreRichieste!E$17-Casse!E$19-Casse!E$25)*$B18/SUMIFS($B$6:$B$68,$A$6:$A$68,"&gt;="&amp;Parametri!E$63)/0.25)))</f>
        <v>6</v>
      </c>
      <c r="R18" s="132" t="str">
        <f aca="false">IF(O18&lt;Q18,"KO",IF(AND(O18&gt;0,P18=0),"NO RESP","OK"))</f>
        <v>OK</v>
      </c>
      <c r="S18" s="113" t="n">
        <f aca="false">SUMPRODUCT((Turni!$R$5:$R$27&lt;=$A18)*(Turni!$S$5:$S$27&gt;$A18))</f>
        <v>6</v>
      </c>
      <c r="T18" s="113" t="n">
        <f aca="false">SUMPRODUCT((Turni!$R$5:$R$27&lt;=$A18)*(Turni!$S$5:$S$27&gt;$A18)*(Turni!$B$5:$B$27="RESP"))</f>
        <v>2</v>
      </c>
      <c r="U18" s="131" t="n">
        <f aca="false">IF($A18&lt;Parametri!F$63,0,MAX(Parametri!$B$66,IF(AND($A18&gt;=8/24,$A18&lt;21/24),INDEX(Casse!F$6:F$18,INT($A18*24)-7)+Parametri!$B$17,0)+INT((OreRichieste!F$17-Casse!F$19-Casse!F$25)*$B18/SUMIFS($B$6:$B$68,$A$6:$A$68,"&gt;="&amp;Parametri!F$63)/0.25)))</f>
        <v>6</v>
      </c>
      <c r="V18" s="132" t="str">
        <f aca="false">IF(S18&lt;U18,"KO",IF(AND(S18&gt;0,T18=0),"NO RESP","OK"))</f>
        <v>OK</v>
      </c>
      <c r="W18" s="113" t="n">
        <f aca="false">SUMPRODUCT((Turni!$U$5:$U$27&lt;=$A18)*(Turni!$V$5:$V$27&gt;$A18))</f>
        <v>7</v>
      </c>
      <c r="X18" s="113" t="n">
        <f aca="false">SUMPRODUCT((Turni!$U$5:$U$27&lt;=$A18)*(Turni!$V$5:$V$27&gt;$A18)*(Turni!$B$5:$B$27="RESP"))</f>
        <v>3</v>
      </c>
      <c r="Y18" s="131" t="n">
        <f aca="false">IF($A18&lt;Parametri!G$63,0,MAX(Parametri!$B$66,IF(AND($A18&gt;=8/24,$A18&lt;21/24),INDEX(Casse!G$6:G$18,INT($A18*24)-7)+Parametri!$B$17,0)+INT((OreRichieste!G$17-Casse!G$19-Casse!G$25)*$B18/SUMIFS($B$6:$B$68,$A$6:$A$68,"&gt;="&amp;Parametri!G$63)/0.25)))</f>
        <v>7</v>
      </c>
      <c r="Z18" s="132" t="str">
        <f aca="false">IF(W18&lt;Y18,"KO",IF(AND(W18&gt;0,X18=0),"NO RESP","OK"))</f>
        <v>OK</v>
      </c>
      <c r="AA18" s="113" t="n">
        <f aca="false">SUMPRODUCT((Turni!$X$5:$X$27&lt;=$A18)*(Turni!$Y$5:$Y$27&gt;$A18))</f>
        <v>6</v>
      </c>
      <c r="AB18" s="113" t="n">
        <f aca="false">SUMPRODUCT((Turni!$X$5:$X$27&lt;=$A18)*(Turni!$Y$5:$Y$27&gt;$A18)*(Turni!$B$5:$B$27="RESP"))</f>
        <v>2</v>
      </c>
      <c r="AC18" s="131" t="n">
        <f aca="false">IF($A18&lt;Parametri!H$63,0,MAX(Parametri!$B$66,IF(AND($A18&gt;=8/24,$A18&lt;21/24),INDEX(Casse!H$6:H$18,INT($A18*24)-7)+Parametri!$B$17,0)+INT((OreRichieste!H$17-Casse!H$19-Casse!H$25)*$B18/SUMIFS($B$6:$B$68,$A$6:$A$68,"&gt;="&amp;Parametri!H$63)/0.25)))</f>
        <v>5</v>
      </c>
      <c r="AD18" s="132" t="str">
        <f aca="false">IF(AA18&lt;AC18,"KO",IF(AND(AA18&gt;0,AB18=0),"NO RESP","OK"))</f>
        <v>OK</v>
      </c>
      <c r="AE18" s="133" t="s">
        <v>176</v>
      </c>
    </row>
    <row r="19" customFormat="false" ht="15" hidden="false" customHeight="true" outlineLevel="0" collapsed="false">
      <c r="A19" s="129" t="n">
        <v>0.364583333333333</v>
      </c>
      <c r="B19" s="130" t="n">
        <v>1.7</v>
      </c>
      <c r="C19" s="113" t="n">
        <f aca="false">SUMPRODUCT((Turni!$F$5:$F$27&lt;=$A19)*(Turni!$G$5:$G$27&gt;$A19))</f>
        <v>7</v>
      </c>
      <c r="D19" s="113" t="n">
        <f aca="false">SUMPRODUCT((Turni!$F$5:$F$27&lt;=$A19)*(Turni!$G$5:$G$27&gt;$A19)*(Turni!$B$5:$B$27="RESP"))</f>
        <v>3</v>
      </c>
      <c r="E19" s="131" t="n">
        <f aca="false">IF($A19&lt;Parametri!B$63,0,MAX(Parametri!$B$66,IF(AND($A19&gt;=8/24,$A19&lt;21/24),INDEX(Casse!B$6:B$18,INT($A19*24)-7)+Parametri!$B$17,0)+INT((OreRichieste!B$17-Casse!B$19-Casse!B$25)*$B19/SUMIFS($B$6:$B$68,$A$6:$A$68,"&gt;="&amp;Parametri!B$63)/0.25)))</f>
        <v>7</v>
      </c>
      <c r="F19" s="132" t="str">
        <f aca="false">IF(C19&lt;E19,"KO",IF(AND(C19&gt;0,D19=0),"NO RESP","OK"))</f>
        <v>OK</v>
      </c>
      <c r="G19" s="113" t="n">
        <f aca="false">SUMPRODUCT((Turni!$I$5:$I$27&lt;=$A19)*(Turni!$J$5:$J$27&gt;$A19))</f>
        <v>5</v>
      </c>
      <c r="H19" s="113" t="n">
        <f aca="false">SUMPRODUCT((Turni!$I$5:$I$27&lt;=$A19)*(Turni!$J$5:$J$27&gt;$A19)*(Turni!$B$5:$B$27="RESP"))</f>
        <v>1</v>
      </c>
      <c r="I19" s="131" t="n">
        <f aca="false">IF($A19&lt;Parametri!C$63,0,MAX(Parametri!$B$66,IF(AND($A19&gt;=8/24,$A19&lt;21/24),INDEX(Casse!C$6:C$18,INT($A19*24)-7)+Parametri!$B$17,0)+INT((OreRichieste!C$17-Casse!C$19-Casse!C$25)*$B19/SUMIFS($B$6:$B$68,$A$6:$A$68,"&gt;="&amp;Parametri!C$63)/0.25)))</f>
        <v>5</v>
      </c>
      <c r="J19" s="132" t="str">
        <f aca="false">IF(G19&lt;I19,"KO",IF(AND(G19&gt;0,H19=0),"NO RESP","OK"))</f>
        <v>OK</v>
      </c>
      <c r="K19" s="113" t="n">
        <f aca="false">SUMPRODUCT((Turni!$L$5:$L$27&lt;=$A19)*(Turni!$M$5:$M$27&gt;$A19))</f>
        <v>6</v>
      </c>
      <c r="L19" s="113" t="n">
        <f aca="false">SUMPRODUCT((Turni!$L$5:$L$27&lt;=$A19)*(Turni!$M$5:$M$27&gt;$A19)*(Turni!$B$5:$B$27="RESP"))</f>
        <v>1</v>
      </c>
      <c r="M19" s="131" t="n">
        <f aca="false">IF($A19&lt;Parametri!D$63,0,MAX(Parametri!$B$66,IF(AND($A19&gt;=8/24,$A19&lt;21/24),INDEX(Casse!D$6:D$18,INT($A19*24)-7)+Parametri!$B$17,0)+INT((OreRichieste!D$17-Casse!D$19-Casse!D$25)*$B19/SUMIFS($B$6:$B$68,$A$6:$A$68,"&gt;="&amp;Parametri!D$63)/0.25)))</f>
        <v>5</v>
      </c>
      <c r="N19" s="132" t="str">
        <f aca="false">IF(K19&lt;M19,"KO",IF(AND(K19&gt;0,L19=0),"NO RESP","OK"))</f>
        <v>OK</v>
      </c>
      <c r="O19" s="113" t="n">
        <f aca="false">SUMPRODUCT((Turni!$O$5:$O$27&lt;=$A19)*(Turni!$P$5:$P$27&gt;$A19))</f>
        <v>6</v>
      </c>
      <c r="P19" s="113" t="n">
        <f aca="false">SUMPRODUCT((Turni!$O$5:$O$27&lt;=$A19)*(Turni!$P$5:$P$27&gt;$A19)*(Turni!$B$5:$B$27="RESP"))</f>
        <v>3</v>
      </c>
      <c r="Q19" s="131" t="n">
        <f aca="false">IF($A19&lt;Parametri!E$63,0,MAX(Parametri!$B$66,IF(AND($A19&gt;=8/24,$A19&lt;21/24),INDEX(Casse!E$6:E$18,INT($A19*24)-7)+Parametri!$B$17,0)+INT((OreRichieste!E$17-Casse!E$19-Casse!E$25)*$B19/SUMIFS($B$6:$B$68,$A$6:$A$68,"&gt;="&amp;Parametri!E$63)/0.25)))</f>
        <v>6</v>
      </c>
      <c r="R19" s="132" t="str">
        <f aca="false">IF(O19&lt;Q19,"KO",IF(AND(O19&gt;0,P19=0),"NO RESP","OK"))</f>
        <v>OK</v>
      </c>
      <c r="S19" s="113" t="n">
        <f aca="false">SUMPRODUCT((Turni!$R$5:$R$27&lt;=$A19)*(Turni!$S$5:$S$27&gt;$A19))</f>
        <v>6</v>
      </c>
      <c r="T19" s="113" t="n">
        <f aca="false">SUMPRODUCT((Turni!$R$5:$R$27&lt;=$A19)*(Turni!$S$5:$S$27&gt;$A19)*(Turni!$B$5:$B$27="RESP"))</f>
        <v>2</v>
      </c>
      <c r="U19" s="131" t="n">
        <f aca="false">IF($A19&lt;Parametri!F$63,0,MAX(Parametri!$B$66,IF(AND($A19&gt;=8/24,$A19&lt;21/24),INDEX(Casse!F$6:F$18,INT($A19*24)-7)+Parametri!$B$17,0)+INT((OreRichieste!F$17-Casse!F$19-Casse!F$25)*$B19/SUMIFS($B$6:$B$68,$A$6:$A$68,"&gt;="&amp;Parametri!F$63)/0.25)))</f>
        <v>6</v>
      </c>
      <c r="V19" s="132" t="str">
        <f aca="false">IF(S19&lt;U19,"KO",IF(AND(S19&gt;0,T19=0),"NO RESP","OK"))</f>
        <v>OK</v>
      </c>
      <c r="W19" s="113" t="n">
        <f aca="false">SUMPRODUCT((Turni!$U$5:$U$27&lt;=$A19)*(Turni!$V$5:$V$27&gt;$A19))</f>
        <v>7</v>
      </c>
      <c r="X19" s="113" t="n">
        <f aca="false">SUMPRODUCT((Turni!$U$5:$U$27&lt;=$A19)*(Turni!$V$5:$V$27&gt;$A19)*(Turni!$B$5:$B$27="RESP"))</f>
        <v>3</v>
      </c>
      <c r="Y19" s="131" t="n">
        <f aca="false">IF($A19&lt;Parametri!G$63,0,MAX(Parametri!$B$66,IF(AND($A19&gt;=8/24,$A19&lt;21/24),INDEX(Casse!G$6:G$18,INT($A19*24)-7)+Parametri!$B$17,0)+INT((OreRichieste!G$17-Casse!G$19-Casse!G$25)*$B19/SUMIFS($B$6:$B$68,$A$6:$A$68,"&gt;="&amp;Parametri!G$63)/0.25)))</f>
        <v>7</v>
      </c>
      <c r="Z19" s="132" t="str">
        <f aca="false">IF(W19&lt;Y19,"KO",IF(AND(W19&gt;0,X19=0),"NO RESP","OK"))</f>
        <v>OK</v>
      </c>
      <c r="AA19" s="113" t="n">
        <f aca="false">SUMPRODUCT((Turni!$X$5:$X$27&lt;=$A19)*(Turni!$Y$5:$Y$27&gt;$A19))</f>
        <v>6</v>
      </c>
      <c r="AB19" s="113" t="n">
        <f aca="false">SUMPRODUCT((Turni!$X$5:$X$27&lt;=$A19)*(Turni!$Y$5:$Y$27&gt;$A19)*(Turni!$B$5:$B$27="RESP"))</f>
        <v>2</v>
      </c>
      <c r="AC19" s="131" t="n">
        <f aca="false">IF($A19&lt;Parametri!H$63,0,MAX(Parametri!$B$66,IF(AND($A19&gt;=8/24,$A19&lt;21/24),INDEX(Casse!H$6:H$18,INT($A19*24)-7)+Parametri!$B$17,0)+INT((OreRichieste!H$17-Casse!H$19-Casse!H$25)*$B19/SUMIFS($B$6:$B$68,$A$6:$A$68,"&gt;="&amp;Parametri!H$63)/0.25)))</f>
        <v>5</v>
      </c>
      <c r="AD19" s="132" t="str">
        <f aca="false">IF(AA19&lt;AC19,"KO",IF(AND(AA19&gt;0,AB19=0),"NO RESP","OK"))</f>
        <v>OK</v>
      </c>
      <c r="AE19" s="133" t="s">
        <v>177</v>
      </c>
    </row>
    <row r="20" customFormat="false" ht="15" hidden="false" customHeight="true" outlineLevel="0" collapsed="false">
      <c r="A20" s="129" t="n">
        <v>0.375</v>
      </c>
      <c r="B20" s="130" t="n">
        <v>1.7</v>
      </c>
      <c r="C20" s="113" t="n">
        <f aca="false">SUMPRODUCT((Turni!$F$5:$F$27&lt;=$A20)*(Turni!$G$5:$G$27&gt;$A20))</f>
        <v>7</v>
      </c>
      <c r="D20" s="113" t="n">
        <f aca="false">SUMPRODUCT((Turni!$F$5:$F$27&lt;=$A20)*(Turni!$G$5:$G$27&gt;$A20)*(Turni!$B$5:$B$27="RESP"))</f>
        <v>3</v>
      </c>
      <c r="E20" s="131" t="n">
        <f aca="false">IF($A20&lt;Parametri!B$63,0,MAX(Parametri!$B$66,IF(AND($A20&gt;=8/24,$A20&lt;21/24),INDEX(Casse!B$6:B$18,INT($A20*24)-7)+Parametri!$B$17,0)+INT((OreRichieste!B$17-Casse!B$19-Casse!B$25)*$B20/SUMIFS($B$6:$B$68,$A$6:$A$68,"&gt;="&amp;Parametri!B$63)/0.25)))</f>
        <v>7</v>
      </c>
      <c r="F20" s="132" t="str">
        <f aca="false">IF(C20&lt;E20,"KO",IF(AND(C20&gt;0,D20=0),"NO RESP","OK"))</f>
        <v>OK</v>
      </c>
      <c r="G20" s="113" t="n">
        <f aca="false">SUMPRODUCT((Turni!$I$5:$I$27&lt;=$A20)*(Turni!$J$5:$J$27&gt;$A20))</f>
        <v>6</v>
      </c>
      <c r="H20" s="113" t="n">
        <f aca="false">SUMPRODUCT((Turni!$I$5:$I$27&lt;=$A20)*(Turni!$J$5:$J$27&gt;$A20)*(Turni!$B$5:$B$27="RESP"))</f>
        <v>1</v>
      </c>
      <c r="I20" s="131" t="n">
        <f aca="false">IF($A20&lt;Parametri!C$63,0,MAX(Parametri!$B$66,IF(AND($A20&gt;=8/24,$A20&lt;21/24),INDEX(Casse!C$6:C$18,INT($A20*24)-7)+Parametri!$B$17,0)+INT((OreRichieste!C$17-Casse!C$19-Casse!C$25)*$B20/SUMIFS($B$6:$B$68,$A$6:$A$68,"&gt;="&amp;Parametri!C$63)/0.25)))</f>
        <v>6</v>
      </c>
      <c r="J20" s="132" t="str">
        <f aca="false">IF(G20&lt;I20,"KO",IF(AND(G20&gt;0,H20=0),"NO RESP","OK"))</f>
        <v>OK</v>
      </c>
      <c r="K20" s="113" t="n">
        <f aca="false">SUMPRODUCT((Turni!$L$5:$L$27&lt;=$A20)*(Turni!$M$5:$M$27&gt;$A20))</f>
        <v>6</v>
      </c>
      <c r="L20" s="113" t="n">
        <f aca="false">SUMPRODUCT((Turni!$L$5:$L$27&lt;=$A20)*(Turni!$M$5:$M$27&gt;$A20)*(Turni!$B$5:$B$27="RESP"))</f>
        <v>1</v>
      </c>
      <c r="M20" s="131" t="n">
        <f aca="false">IF($A20&lt;Parametri!D$63,0,MAX(Parametri!$B$66,IF(AND($A20&gt;=8/24,$A20&lt;21/24),INDEX(Casse!D$6:D$18,INT($A20*24)-7)+Parametri!$B$17,0)+INT((OreRichieste!D$17-Casse!D$19-Casse!D$25)*$B20/SUMIFS($B$6:$B$68,$A$6:$A$68,"&gt;="&amp;Parametri!D$63)/0.25)))</f>
        <v>6</v>
      </c>
      <c r="N20" s="132" t="str">
        <f aca="false">IF(K20&lt;M20,"KO",IF(AND(K20&gt;0,L20=0),"NO RESP","OK"))</f>
        <v>OK</v>
      </c>
      <c r="O20" s="113" t="n">
        <f aca="false">SUMPRODUCT((Turni!$O$5:$O$27&lt;=$A20)*(Turni!$P$5:$P$27&gt;$A20))</f>
        <v>6</v>
      </c>
      <c r="P20" s="113" t="n">
        <f aca="false">SUMPRODUCT((Turni!$O$5:$O$27&lt;=$A20)*(Turni!$P$5:$P$27&gt;$A20)*(Turni!$B$5:$B$27="RESP"))</f>
        <v>3</v>
      </c>
      <c r="Q20" s="131" t="n">
        <f aca="false">IF($A20&lt;Parametri!E$63,0,MAX(Parametri!$B$66,IF(AND($A20&gt;=8/24,$A20&lt;21/24),INDEX(Casse!E$6:E$18,INT($A20*24)-7)+Parametri!$B$17,0)+INT((OreRichieste!E$17-Casse!E$19-Casse!E$25)*$B20/SUMIFS($B$6:$B$68,$A$6:$A$68,"&gt;="&amp;Parametri!E$63)/0.25)))</f>
        <v>6</v>
      </c>
      <c r="R20" s="132" t="str">
        <f aca="false">IF(O20&lt;Q20,"KO",IF(AND(O20&gt;0,P20=0),"NO RESP","OK"))</f>
        <v>OK</v>
      </c>
      <c r="S20" s="113" t="n">
        <f aca="false">SUMPRODUCT((Turni!$R$5:$R$27&lt;=$A20)*(Turni!$S$5:$S$27&gt;$A20))</f>
        <v>6</v>
      </c>
      <c r="T20" s="113" t="n">
        <f aca="false">SUMPRODUCT((Turni!$R$5:$R$27&lt;=$A20)*(Turni!$S$5:$S$27&gt;$A20)*(Turni!$B$5:$B$27="RESP"))</f>
        <v>2</v>
      </c>
      <c r="U20" s="131" t="n">
        <f aca="false">IF($A20&lt;Parametri!F$63,0,MAX(Parametri!$B$66,IF(AND($A20&gt;=8/24,$A20&lt;21/24),INDEX(Casse!F$6:F$18,INT($A20*24)-7)+Parametri!$B$17,0)+INT((OreRichieste!F$17-Casse!F$19-Casse!F$25)*$B20/SUMIFS($B$6:$B$68,$A$6:$A$68,"&gt;="&amp;Parametri!F$63)/0.25)))</f>
        <v>6</v>
      </c>
      <c r="V20" s="132" t="str">
        <f aca="false">IF(S20&lt;U20,"KO",IF(AND(S20&gt;0,T20=0),"NO RESP","OK"))</f>
        <v>OK</v>
      </c>
      <c r="W20" s="113" t="n">
        <f aca="false">SUMPRODUCT((Turni!$U$5:$U$27&lt;=$A20)*(Turni!$V$5:$V$27&gt;$A20))</f>
        <v>8</v>
      </c>
      <c r="X20" s="113" t="n">
        <f aca="false">SUMPRODUCT((Turni!$U$5:$U$27&lt;=$A20)*(Turni!$V$5:$V$27&gt;$A20)*(Turni!$B$5:$B$27="RESP"))</f>
        <v>3</v>
      </c>
      <c r="Y20" s="131" t="n">
        <f aca="false">IF($A20&lt;Parametri!G$63,0,MAX(Parametri!$B$66,IF(AND($A20&gt;=8/24,$A20&lt;21/24),INDEX(Casse!G$6:G$18,INT($A20*24)-7)+Parametri!$B$17,0)+INT((OreRichieste!G$17-Casse!G$19-Casse!G$25)*$B20/SUMIFS($B$6:$B$68,$A$6:$A$68,"&gt;="&amp;Parametri!G$63)/0.25)))</f>
        <v>8</v>
      </c>
      <c r="Z20" s="132" t="str">
        <f aca="false">IF(W20&lt;Y20,"KO",IF(AND(W20&gt;0,X20=0),"NO RESP","OK"))</f>
        <v>OK</v>
      </c>
      <c r="AA20" s="113" t="n">
        <f aca="false">SUMPRODUCT((Turni!$X$5:$X$27&lt;=$A20)*(Turni!$Y$5:$Y$27&gt;$A20))</f>
        <v>6</v>
      </c>
      <c r="AB20" s="113" t="n">
        <f aca="false">SUMPRODUCT((Turni!$X$5:$X$27&lt;=$A20)*(Turni!$Y$5:$Y$27&gt;$A20)*(Turni!$B$5:$B$27="RESP"))</f>
        <v>2</v>
      </c>
      <c r="AC20" s="131" t="n">
        <f aca="false">IF($A20&lt;Parametri!H$63,0,MAX(Parametri!$B$66,IF(AND($A20&gt;=8/24,$A20&lt;21/24),INDEX(Casse!H$6:H$18,INT($A20*24)-7)+Parametri!$B$17,0)+INT((OreRichieste!H$17-Casse!H$19-Casse!H$25)*$B20/SUMIFS($B$6:$B$68,$A$6:$A$68,"&gt;="&amp;Parametri!H$63)/0.25)))</f>
        <v>6</v>
      </c>
      <c r="AD20" s="132" t="str">
        <f aca="false">IF(AA20&lt;AC20,"KO",IF(AND(AA20&gt;0,AB20=0),"NO RESP","OK"))</f>
        <v>OK</v>
      </c>
      <c r="AE20" s="133" t="s">
        <v>178</v>
      </c>
    </row>
    <row r="21" customFormat="false" ht="15" hidden="false" customHeight="true" outlineLevel="0" collapsed="false">
      <c r="A21" s="129" t="n">
        <v>0.385416666666667</v>
      </c>
      <c r="B21" s="130" t="n">
        <v>1.7</v>
      </c>
      <c r="C21" s="113" t="n">
        <f aca="false">SUMPRODUCT((Turni!$F$5:$F$27&lt;=$A21)*(Turni!$G$5:$G$27&gt;$A21))</f>
        <v>7</v>
      </c>
      <c r="D21" s="113" t="n">
        <f aca="false">SUMPRODUCT((Turni!$F$5:$F$27&lt;=$A21)*(Turni!$G$5:$G$27&gt;$A21)*(Turni!$B$5:$B$27="RESP"))</f>
        <v>3</v>
      </c>
      <c r="E21" s="131" t="n">
        <f aca="false">IF($A21&lt;Parametri!B$63,0,MAX(Parametri!$B$66,IF(AND($A21&gt;=8/24,$A21&lt;21/24),INDEX(Casse!B$6:B$18,INT($A21*24)-7)+Parametri!$B$17,0)+INT((OreRichieste!B$17-Casse!B$19-Casse!B$25)*$B21/SUMIFS($B$6:$B$68,$A$6:$A$68,"&gt;="&amp;Parametri!B$63)/0.25)))</f>
        <v>7</v>
      </c>
      <c r="F21" s="132" t="str">
        <f aca="false">IF(C21&lt;E21,"KO",IF(AND(C21&gt;0,D21=0),"NO RESP","OK"))</f>
        <v>OK</v>
      </c>
      <c r="G21" s="113" t="n">
        <f aca="false">SUMPRODUCT((Turni!$I$5:$I$27&lt;=$A21)*(Turni!$J$5:$J$27&gt;$A21))</f>
        <v>6</v>
      </c>
      <c r="H21" s="113" t="n">
        <f aca="false">SUMPRODUCT((Turni!$I$5:$I$27&lt;=$A21)*(Turni!$J$5:$J$27&gt;$A21)*(Turni!$B$5:$B$27="RESP"))</f>
        <v>1</v>
      </c>
      <c r="I21" s="131" t="n">
        <f aca="false">IF($A21&lt;Parametri!C$63,0,MAX(Parametri!$B$66,IF(AND($A21&gt;=8/24,$A21&lt;21/24),INDEX(Casse!C$6:C$18,INT($A21*24)-7)+Parametri!$B$17,0)+INT((OreRichieste!C$17-Casse!C$19-Casse!C$25)*$B21/SUMIFS($B$6:$B$68,$A$6:$A$68,"&gt;="&amp;Parametri!C$63)/0.25)))</f>
        <v>6</v>
      </c>
      <c r="J21" s="132" t="str">
        <f aca="false">IF(G21&lt;I21,"KO",IF(AND(G21&gt;0,H21=0),"NO RESP","OK"))</f>
        <v>OK</v>
      </c>
      <c r="K21" s="113" t="n">
        <f aca="false">SUMPRODUCT((Turni!$L$5:$L$27&lt;=$A21)*(Turni!$M$5:$M$27&gt;$A21))</f>
        <v>6</v>
      </c>
      <c r="L21" s="113" t="n">
        <f aca="false">SUMPRODUCT((Turni!$L$5:$L$27&lt;=$A21)*(Turni!$M$5:$M$27&gt;$A21)*(Turni!$B$5:$B$27="RESP"))</f>
        <v>1</v>
      </c>
      <c r="M21" s="131" t="n">
        <f aca="false">IF($A21&lt;Parametri!D$63,0,MAX(Parametri!$B$66,IF(AND($A21&gt;=8/24,$A21&lt;21/24),INDEX(Casse!D$6:D$18,INT($A21*24)-7)+Parametri!$B$17,0)+INT((OreRichieste!D$17-Casse!D$19-Casse!D$25)*$B21/SUMIFS($B$6:$B$68,$A$6:$A$68,"&gt;="&amp;Parametri!D$63)/0.25)))</f>
        <v>6</v>
      </c>
      <c r="N21" s="132" t="str">
        <f aca="false">IF(K21&lt;M21,"KO",IF(AND(K21&gt;0,L21=0),"NO RESP","OK"))</f>
        <v>OK</v>
      </c>
      <c r="O21" s="113" t="n">
        <f aca="false">SUMPRODUCT((Turni!$O$5:$O$27&lt;=$A21)*(Turni!$P$5:$P$27&gt;$A21))</f>
        <v>6</v>
      </c>
      <c r="P21" s="113" t="n">
        <f aca="false">SUMPRODUCT((Turni!$O$5:$O$27&lt;=$A21)*(Turni!$P$5:$P$27&gt;$A21)*(Turni!$B$5:$B$27="RESP"))</f>
        <v>3</v>
      </c>
      <c r="Q21" s="131" t="n">
        <f aca="false">IF($A21&lt;Parametri!E$63,0,MAX(Parametri!$B$66,IF(AND($A21&gt;=8/24,$A21&lt;21/24),INDEX(Casse!E$6:E$18,INT($A21*24)-7)+Parametri!$B$17,0)+INT((OreRichieste!E$17-Casse!E$19-Casse!E$25)*$B21/SUMIFS($B$6:$B$68,$A$6:$A$68,"&gt;="&amp;Parametri!E$63)/0.25)))</f>
        <v>6</v>
      </c>
      <c r="R21" s="132" t="str">
        <f aca="false">IF(O21&lt;Q21,"KO",IF(AND(O21&gt;0,P21=0),"NO RESP","OK"))</f>
        <v>OK</v>
      </c>
      <c r="S21" s="113" t="n">
        <f aca="false">SUMPRODUCT((Turni!$R$5:$R$27&lt;=$A21)*(Turni!$S$5:$S$27&gt;$A21))</f>
        <v>6</v>
      </c>
      <c r="T21" s="113" t="n">
        <f aca="false">SUMPRODUCT((Turni!$R$5:$R$27&lt;=$A21)*(Turni!$S$5:$S$27&gt;$A21)*(Turni!$B$5:$B$27="RESP"))</f>
        <v>2</v>
      </c>
      <c r="U21" s="131" t="n">
        <f aca="false">IF($A21&lt;Parametri!F$63,0,MAX(Parametri!$B$66,IF(AND($A21&gt;=8/24,$A21&lt;21/24),INDEX(Casse!F$6:F$18,INT($A21*24)-7)+Parametri!$B$17,0)+INT((OreRichieste!F$17-Casse!F$19-Casse!F$25)*$B21/SUMIFS($B$6:$B$68,$A$6:$A$68,"&gt;="&amp;Parametri!F$63)/0.25)))</f>
        <v>6</v>
      </c>
      <c r="V21" s="132" t="str">
        <f aca="false">IF(S21&lt;U21,"KO",IF(AND(S21&gt;0,T21=0),"NO RESP","OK"))</f>
        <v>OK</v>
      </c>
      <c r="W21" s="113" t="n">
        <f aca="false">SUMPRODUCT((Turni!$U$5:$U$27&lt;=$A21)*(Turni!$V$5:$V$27&gt;$A21))</f>
        <v>8</v>
      </c>
      <c r="X21" s="113" t="n">
        <f aca="false">SUMPRODUCT((Turni!$U$5:$U$27&lt;=$A21)*(Turni!$V$5:$V$27&gt;$A21)*(Turni!$B$5:$B$27="RESP"))</f>
        <v>3</v>
      </c>
      <c r="Y21" s="131" t="n">
        <f aca="false">IF($A21&lt;Parametri!G$63,0,MAX(Parametri!$B$66,IF(AND($A21&gt;=8/24,$A21&lt;21/24),INDEX(Casse!G$6:G$18,INT($A21*24)-7)+Parametri!$B$17,0)+INT((OreRichieste!G$17-Casse!G$19-Casse!G$25)*$B21/SUMIFS($B$6:$B$68,$A$6:$A$68,"&gt;="&amp;Parametri!G$63)/0.25)))</f>
        <v>8</v>
      </c>
      <c r="Z21" s="132" t="str">
        <f aca="false">IF(W21&lt;Y21,"KO",IF(AND(W21&gt;0,X21=0),"NO RESP","OK"))</f>
        <v>OK</v>
      </c>
      <c r="AA21" s="113" t="n">
        <f aca="false">SUMPRODUCT((Turni!$X$5:$X$27&lt;=$A21)*(Turni!$Y$5:$Y$27&gt;$A21))</f>
        <v>6</v>
      </c>
      <c r="AB21" s="113" t="n">
        <f aca="false">SUMPRODUCT((Turni!$X$5:$X$27&lt;=$A21)*(Turni!$Y$5:$Y$27&gt;$A21)*(Turni!$B$5:$B$27="RESP"))</f>
        <v>2</v>
      </c>
      <c r="AC21" s="131" t="n">
        <f aca="false">IF($A21&lt;Parametri!H$63,0,MAX(Parametri!$B$66,IF(AND($A21&gt;=8/24,$A21&lt;21/24),INDEX(Casse!H$6:H$18,INT($A21*24)-7)+Parametri!$B$17,0)+INT((OreRichieste!H$17-Casse!H$19-Casse!H$25)*$B21/SUMIFS($B$6:$B$68,$A$6:$A$68,"&gt;="&amp;Parametri!H$63)/0.25)))</f>
        <v>6</v>
      </c>
      <c r="AD21" s="132" t="str">
        <f aca="false">IF(AA21&lt;AC21,"KO",IF(AND(AA21&gt;0,AB21=0),"NO RESP","OK"))</f>
        <v>OK</v>
      </c>
      <c r="AE21" s="133" t="s">
        <v>179</v>
      </c>
    </row>
    <row r="22" customFormat="false" ht="15" hidden="false" customHeight="true" outlineLevel="0" collapsed="false">
      <c r="A22" s="129" t="n">
        <v>0.395833333333333</v>
      </c>
      <c r="B22" s="130" t="n">
        <v>1.7</v>
      </c>
      <c r="C22" s="113" t="n">
        <f aca="false">SUMPRODUCT((Turni!$F$5:$F$27&lt;=$A22)*(Turni!$G$5:$G$27&gt;$A22))</f>
        <v>7</v>
      </c>
      <c r="D22" s="113" t="n">
        <f aca="false">SUMPRODUCT((Turni!$F$5:$F$27&lt;=$A22)*(Turni!$G$5:$G$27&gt;$A22)*(Turni!$B$5:$B$27="RESP"))</f>
        <v>3</v>
      </c>
      <c r="E22" s="131" t="n">
        <f aca="false">IF($A22&lt;Parametri!B$63,0,MAX(Parametri!$B$66,IF(AND($A22&gt;=8/24,$A22&lt;21/24),INDEX(Casse!B$6:B$18,INT($A22*24)-7)+Parametri!$B$17,0)+INT((OreRichieste!B$17-Casse!B$19-Casse!B$25)*$B22/SUMIFS($B$6:$B$68,$A$6:$A$68,"&gt;="&amp;Parametri!B$63)/0.25)))</f>
        <v>7</v>
      </c>
      <c r="F22" s="132" t="str">
        <f aca="false">IF(C22&lt;E22,"KO",IF(AND(C22&gt;0,D22=0),"NO RESP","OK"))</f>
        <v>OK</v>
      </c>
      <c r="G22" s="113" t="n">
        <f aca="false">SUMPRODUCT((Turni!$I$5:$I$27&lt;=$A22)*(Turni!$J$5:$J$27&gt;$A22))</f>
        <v>6</v>
      </c>
      <c r="H22" s="113" t="n">
        <f aca="false">SUMPRODUCT((Turni!$I$5:$I$27&lt;=$A22)*(Turni!$J$5:$J$27&gt;$A22)*(Turni!$B$5:$B$27="RESP"))</f>
        <v>1</v>
      </c>
      <c r="I22" s="131" t="n">
        <f aca="false">IF($A22&lt;Parametri!C$63,0,MAX(Parametri!$B$66,IF(AND($A22&gt;=8/24,$A22&lt;21/24),INDEX(Casse!C$6:C$18,INT($A22*24)-7)+Parametri!$B$17,0)+INT((OreRichieste!C$17-Casse!C$19-Casse!C$25)*$B22/SUMIFS($B$6:$B$68,$A$6:$A$68,"&gt;="&amp;Parametri!C$63)/0.25)))</f>
        <v>6</v>
      </c>
      <c r="J22" s="132" t="str">
        <f aca="false">IF(G22&lt;I22,"KO",IF(AND(G22&gt;0,H22=0),"NO RESP","OK"))</f>
        <v>OK</v>
      </c>
      <c r="K22" s="113" t="n">
        <f aca="false">SUMPRODUCT((Turni!$L$5:$L$27&lt;=$A22)*(Turni!$M$5:$M$27&gt;$A22))</f>
        <v>6</v>
      </c>
      <c r="L22" s="113" t="n">
        <f aca="false">SUMPRODUCT((Turni!$L$5:$L$27&lt;=$A22)*(Turni!$M$5:$M$27&gt;$A22)*(Turni!$B$5:$B$27="RESP"))</f>
        <v>1</v>
      </c>
      <c r="M22" s="131" t="n">
        <f aca="false">IF($A22&lt;Parametri!D$63,0,MAX(Parametri!$B$66,IF(AND($A22&gt;=8/24,$A22&lt;21/24),INDEX(Casse!D$6:D$18,INT($A22*24)-7)+Parametri!$B$17,0)+INT((OreRichieste!D$17-Casse!D$19-Casse!D$25)*$B22/SUMIFS($B$6:$B$68,$A$6:$A$68,"&gt;="&amp;Parametri!D$63)/0.25)))</f>
        <v>6</v>
      </c>
      <c r="N22" s="132" t="str">
        <f aca="false">IF(K22&lt;M22,"KO",IF(AND(K22&gt;0,L22=0),"NO RESP","OK"))</f>
        <v>OK</v>
      </c>
      <c r="O22" s="113" t="n">
        <f aca="false">SUMPRODUCT((Turni!$O$5:$O$27&lt;=$A22)*(Turni!$P$5:$P$27&gt;$A22))</f>
        <v>6</v>
      </c>
      <c r="P22" s="113" t="n">
        <f aca="false">SUMPRODUCT((Turni!$O$5:$O$27&lt;=$A22)*(Turni!$P$5:$P$27&gt;$A22)*(Turni!$B$5:$B$27="RESP"))</f>
        <v>3</v>
      </c>
      <c r="Q22" s="131" t="n">
        <f aca="false">IF($A22&lt;Parametri!E$63,0,MAX(Parametri!$B$66,IF(AND($A22&gt;=8/24,$A22&lt;21/24),INDEX(Casse!E$6:E$18,INT($A22*24)-7)+Parametri!$B$17,0)+INT((OreRichieste!E$17-Casse!E$19-Casse!E$25)*$B22/SUMIFS($B$6:$B$68,$A$6:$A$68,"&gt;="&amp;Parametri!E$63)/0.25)))</f>
        <v>6</v>
      </c>
      <c r="R22" s="132" t="str">
        <f aca="false">IF(O22&lt;Q22,"KO",IF(AND(O22&gt;0,P22=0),"NO RESP","OK"))</f>
        <v>OK</v>
      </c>
      <c r="S22" s="113" t="n">
        <f aca="false">SUMPRODUCT((Turni!$R$5:$R$27&lt;=$A22)*(Turni!$S$5:$S$27&gt;$A22))</f>
        <v>6</v>
      </c>
      <c r="T22" s="113" t="n">
        <f aca="false">SUMPRODUCT((Turni!$R$5:$R$27&lt;=$A22)*(Turni!$S$5:$S$27&gt;$A22)*(Turni!$B$5:$B$27="RESP"))</f>
        <v>2</v>
      </c>
      <c r="U22" s="131" t="n">
        <f aca="false">IF($A22&lt;Parametri!F$63,0,MAX(Parametri!$B$66,IF(AND($A22&gt;=8/24,$A22&lt;21/24),INDEX(Casse!F$6:F$18,INT($A22*24)-7)+Parametri!$B$17,0)+INT((OreRichieste!F$17-Casse!F$19-Casse!F$25)*$B22/SUMIFS($B$6:$B$68,$A$6:$A$68,"&gt;="&amp;Parametri!F$63)/0.25)))</f>
        <v>6</v>
      </c>
      <c r="V22" s="132" t="str">
        <f aca="false">IF(S22&lt;U22,"KO",IF(AND(S22&gt;0,T22=0),"NO RESP","OK"))</f>
        <v>OK</v>
      </c>
      <c r="W22" s="113" t="n">
        <f aca="false">SUMPRODUCT((Turni!$U$5:$U$27&lt;=$A22)*(Turni!$V$5:$V$27&gt;$A22))</f>
        <v>8</v>
      </c>
      <c r="X22" s="113" t="n">
        <f aca="false">SUMPRODUCT((Turni!$U$5:$U$27&lt;=$A22)*(Turni!$V$5:$V$27&gt;$A22)*(Turni!$B$5:$B$27="RESP"))</f>
        <v>3</v>
      </c>
      <c r="Y22" s="131" t="n">
        <f aca="false">IF($A22&lt;Parametri!G$63,0,MAX(Parametri!$B$66,IF(AND($A22&gt;=8/24,$A22&lt;21/24),INDEX(Casse!G$6:G$18,INT($A22*24)-7)+Parametri!$B$17,0)+INT((OreRichieste!G$17-Casse!G$19-Casse!G$25)*$B22/SUMIFS($B$6:$B$68,$A$6:$A$68,"&gt;="&amp;Parametri!G$63)/0.25)))</f>
        <v>8</v>
      </c>
      <c r="Z22" s="132" t="str">
        <f aca="false">IF(W22&lt;Y22,"KO",IF(AND(W22&gt;0,X22=0),"NO RESP","OK"))</f>
        <v>OK</v>
      </c>
      <c r="AA22" s="113" t="n">
        <f aca="false">SUMPRODUCT((Turni!$X$5:$X$27&lt;=$A22)*(Turni!$Y$5:$Y$27&gt;$A22))</f>
        <v>6</v>
      </c>
      <c r="AB22" s="113" t="n">
        <f aca="false">SUMPRODUCT((Turni!$X$5:$X$27&lt;=$A22)*(Turni!$Y$5:$Y$27&gt;$A22)*(Turni!$B$5:$B$27="RESP"))</f>
        <v>2</v>
      </c>
      <c r="AC22" s="131" t="n">
        <f aca="false">IF($A22&lt;Parametri!H$63,0,MAX(Parametri!$B$66,IF(AND($A22&gt;=8/24,$A22&lt;21/24),INDEX(Casse!H$6:H$18,INT($A22*24)-7)+Parametri!$B$17,0)+INT((OreRichieste!H$17-Casse!H$19-Casse!H$25)*$B22/SUMIFS($B$6:$B$68,$A$6:$A$68,"&gt;="&amp;Parametri!H$63)/0.25)))</f>
        <v>6</v>
      </c>
      <c r="AD22" s="132" t="str">
        <f aca="false">IF(AA22&lt;AC22,"KO",IF(AND(AA22&gt;0,AB22=0),"NO RESP","OK"))</f>
        <v>OK</v>
      </c>
      <c r="AE22" s="133" t="s">
        <v>180</v>
      </c>
    </row>
    <row r="23" customFormat="false" ht="15" hidden="false" customHeight="true" outlineLevel="0" collapsed="false">
      <c r="A23" s="129" t="n">
        <v>0.40625</v>
      </c>
      <c r="B23" s="130" t="n">
        <v>1.7</v>
      </c>
      <c r="C23" s="113" t="n">
        <f aca="false">SUMPRODUCT((Turni!$F$5:$F$27&lt;=$A23)*(Turni!$G$5:$G$27&gt;$A23))</f>
        <v>7</v>
      </c>
      <c r="D23" s="113" t="n">
        <f aca="false">SUMPRODUCT((Turni!$F$5:$F$27&lt;=$A23)*(Turni!$G$5:$G$27&gt;$A23)*(Turni!$B$5:$B$27="RESP"))</f>
        <v>3</v>
      </c>
      <c r="E23" s="131" t="n">
        <f aca="false">IF($A23&lt;Parametri!B$63,0,MAX(Parametri!$B$66,IF(AND($A23&gt;=8/24,$A23&lt;21/24),INDEX(Casse!B$6:B$18,INT($A23*24)-7)+Parametri!$B$17,0)+INT((OreRichieste!B$17-Casse!B$19-Casse!B$25)*$B23/SUMIFS($B$6:$B$68,$A$6:$A$68,"&gt;="&amp;Parametri!B$63)/0.25)))</f>
        <v>7</v>
      </c>
      <c r="F23" s="132" t="str">
        <f aca="false">IF(C23&lt;E23,"KO",IF(AND(C23&gt;0,D23=0),"NO RESP","OK"))</f>
        <v>OK</v>
      </c>
      <c r="G23" s="113" t="n">
        <f aca="false">SUMPRODUCT((Turni!$I$5:$I$27&lt;=$A23)*(Turni!$J$5:$J$27&gt;$A23))</f>
        <v>6</v>
      </c>
      <c r="H23" s="113" t="n">
        <f aca="false">SUMPRODUCT((Turni!$I$5:$I$27&lt;=$A23)*(Turni!$J$5:$J$27&gt;$A23)*(Turni!$B$5:$B$27="RESP"))</f>
        <v>1</v>
      </c>
      <c r="I23" s="131" t="n">
        <f aca="false">IF($A23&lt;Parametri!C$63,0,MAX(Parametri!$B$66,IF(AND($A23&gt;=8/24,$A23&lt;21/24),INDEX(Casse!C$6:C$18,INT($A23*24)-7)+Parametri!$B$17,0)+INT((OreRichieste!C$17-Casse!C$19-Casse!C$25)*$B23/SUMIFS($B$6:$B$68,$A$6:$A$68,"&gt;="&amp;Parametri!C$63)/0.25)))</f>
        <v>6</v>
      </c>
      <c r="J23" s="132" t="str">
        <f aca="false">IF(G23&lt;I23,"KO",IF(AND(G23&gt;0,H23=0),"NO RESP","OK"))</f>
        <v>OK</v>
      </c>
      <c r="K23" s="113" t="n">
        <f aca="false">SUMPRODUCT((Turni!$L$5:$L$27&lt;=$A23)*(Turni!$M$5:$M$27&gt;$A23))</f>
        <v>6</v>
      </c>
      <c r="L23" s="113" t="n">
        <f aca="false">SUMPRODUCT((Turni!$L$5:$L$27&lt;=$A23)*(Turni!$M$5:$M$27&gt;$A23)*(Turni!$B$5:$B$27="RESP"))</f>
        <v>1</v>
      </c>
      <c r="M23" s="131" t="n">
        <f aca="false">IF($A23&lt;Parametri!D$63,0,MAX(Parametri!$B$66,IF(AND($A23&gt;=8/24,$A23&lt;21/24),INDEX(Casse!D$6:D$18,INT($A23*24)-7)+Parametri!$B$17,0)+INT((OreRichieste!D$17-Casse!D$19-Casse!D$25)*$B23/SUMIFS($B$6:$B$68,$A$6:$A$68,"&gt;="&amp;Parametri!D$63)/0.25)))</f>
        <v>6</v>
      </c>
      <c r="N23" s="132" t="str">
        <f aca="false">IF(K23&lt;M23,"KO",IF(AND(K23&gt;0,L23=0),"NO RESP","OK"))</f>
        <v>OK</v>
      </c>
      <c r="O23" s="113" t="n">
        <f aca="false">SUMPRODUCT((Turni!$O$5:$O$27&lt;=$A23)*(Turni!$P$5:$P$27&gt;$A23))</f>
        <v>6</v>
      </c>
      <c r="P23" s="113" t="n">
        <f aca="false">SUMPRODUCT((Turni!$O$5:$O$27&lt;=$A23)*(Turni!$P$5:$P$27&gt;$A23)*(Turni!$B$5:$B$27="RESP"))</f>
        <v>3</v>
      </c>
      <c r="Q23" s="131" t="n">
        <f aca="false">IF($A23&lt;Parametri!E$63,0,MAX(Parametri!$B$66,IF(AND($A23&gt;=8/24,$A23&lt;21/24),INDEX(Casse!E$6:E$18,INT($A23*24)-7)+Parametri!$B$17,0)+INT((OreRichieste!E$17-Casse!E$19-Casse!E$25)*$B23/SUMIFS($B$6:$B$68,$A$6:$A$68,"&gt;="&amp;Parametri!E$63)/0.25)))</f>
        <v>6</v>
      </c>
      <c r="R23" s="132" t="str">
        <f aca="false">IF(O23&lt;Q23,"KO",IF(AND(O23&gt;0,P23=0),"NO RESP","OK"))</f>
        <v>OK</v>
      </c>
      <c r="S23" s="113" t="n">
        <f aca="false">SUMPRODUCT((Turni!$R$5:$R$27&lt;=$A23)*(Turni!$S$5:$S$27&gt;$A23))</f>
        <v>6</v>
      </c>
      <c r="T23" s="113" t="n">
        <f aca="false">SUMPRODUCT((Turni!$R$5:$R$27&lt;=$A23)*(Turni!$S$5:$S$27&gt;$A23)*(Turni!$B$5:$B$27="RESP"))</f>
        <v>2</v>
      </c>
      <c r="U23" s="131" t="n">
        <f aca="false">IF($A23&lt;Parametri!F$63,0,MAX(Parametri!$B$66,IF(AND($A23&gt;=8/24,$A23&lt;21/24),INDEX(Casse!F$6:F$18,INT($A23*24)-7)+Parametri!$B$17,0)+INT((OreRichieste!F$17-Casse!F$19-Casse!F$25)*$B23/SUMIFS($B$6:$B$68,$A$6:$A$68,"&gt;="&amp;Parametri!F$63)/0.25)))</f>
        <v>6</v>
      </c>
      <c r="V23" s="132" t="str">
        <f aca="false">IF(S23&lt;U23,"KO",IF(AND(S23&gt;0,T23=0),"NO RESP","OK"))</f>
        <v>OK</v>
      </c>
      <c r="W23" s="113" t="n">
        <f aca="false">SUMPRODUCT((Turni!$U$5:$U$27&lt;=$A23)*(Turni!$V$5:$V$27&gt;$A23))</f>
        <v>8</v>
      </c>
      <c r="X23" s="113" t="n">
        <f aca="false">SUMPRODUCT((Turni!$U$5:$U$27&lt;=$A23)*(Turni!$V$5:$V$27&gt;$A23)*(Turni!$B$5:$B$27="RESP"))</f>
        <v>3</v>
      </c>
      <c r="Y23" s="131" t="n">
        <f aca="false">IF($A23&lt;Parametri!G$63,0,MAX(Parametri!$B$66,IF(AND($A23&gt;=8/24,$A23&lt;21/24),INDEX(Casse!G$6:G$18,INT($A23*24)-7)+Parametri!$B$17,0)+INT((OreRichieste!G$17-Casse!G$19-Casse!G$25)*$B23/SUMIFS($B$6:$B$68,$A$6:$A$68,"&gt;="&amp;Parametri!G$63)/0.25)))</f>
        <v>8</v>
      </c>
      <c r="Z23" s="132" t="str">
        <f aca="false">IF(W23&lt;Y23,"KO",IF(AND(W23&gt;0,X23=0),"NO RESP","OK"))</f>
        <v>OK</v>
      </c>
      <c r="AA23" s="113" t="n">
        <f aca="false">SUMPRODUCT((Turni!$X$5:$X$27&lt;=$A23)*(Turni!$Y$5:$Y$27&gt;$A23))</f>
        <v>6</v>
      </c>
      <c r="AB23" s="113" t="n">
        <f aca="false">SUMPRODUCT((Turni!$X$5:$X$27&lt;=$A23)*(Turni!$Y$5:$Y$27&gt;$A23)*(Turni!$B$5:$B$27="RESP"))</f>
        <v>2</v>
      </c>
      <c r="AC23" s="131" t="n">
        <f aca="false">IF($A23&lt;Parametri!H$63,0,MAX(Parametri!$B$66,IF(AND($A23&gt;=8/24,$A23&lt;21/24),INDEX(Casse!H$6:H$18,INT($A23*24)-7)+Parametri!$B$17,0)+INT((OreRichieste!H$17-Casse!H$19-Casse!H$25)*$B23/SUMIFS($B$6:$B$68,$A$6:$A$68,"&gt;="&amp;Parametri!H$63)/0.25)))</f>
        <v>6</v>
      </c>
      <c r="AD23" s="132" t="str">
        <f aca="false">IF(AA23&lt;AC23,"KO",IF(AND(AA23&gt;0,AB23=0),"NO RESP","OK"))</f>
        <v>OK</v>
      </c>
      <c r="AE23" s="133" t="s">
        <v>181</v>
      </c>
    </row>
    <row r="24" customFormat="false" ht="15" hidden="false" customHeight="true" outlineLevel="0" collapsed="false">
      <c r="A24" s="129" t="n">
        <v>0.416666666666667</v>
      </c>
      <c r="B24" s="130" t="n">
        <v>1.05</v>
      </c>
      <c r="C24" s="113" t="n">
        <f aca="false">SUMPRODUCT((Turni!$F$5:$F$27&lt;=$A24)*(Turni!$G$5:$G$27&gt;$A24))</f>
        <v>8</v>
      </c>
      <c r="D24" s="113" t="n">
        <f aca="false">SUMPRODUCT((Turni!$F$5:$F$27&lt;=$A24)*(Turni!$G$5:$G$27&gt;$A24)*(Turni!$B$5:$B$27="RESP"))</f>
        <v>3</v>
      </c>
      <c r="E24" s="131" t="n">
        <f aca="false">IF($A24&lt;Parametri!B$63,0,MAX(Parametri!$B$66,IF(AND($A24&gt;=8/24,$A24&lt;21/24),INDEX(Casse!B$6:B$18,INT($A24*24)-7)+Parametri!$B$17,0)+INT((OreRichieste!B$17-Casse!B$19-Casse!B$25)*$B24/SUMIFS($B$6:$B$68,$A$6:$A$68,"&gt;="&amp;Parametri!B$63)/0.25)))</f>
        <v>5</v>
      </c>
      <c r="F24" s="132" t="str">
        <f aca="false">IF(C24&lt;E24,"KO",IF(AND(C24&gt;0,D24=0),"NO RESP","OK"))</f>
        <v>OK</v>
      </c>
      <c r="G24" s="113" t="n">
        <f aca="false">SUMPRODUCT((Turni!$I$5:$I$27&lt;=$A24)*(Turni!$J$5:$J$27&gt;$A24))</f>
        <v>6</v>
      </c>
      <c r="H24" s="113" t="n">
        <f aca="false">SUMPRODUCT((Turni!$I$5:$I$27&lt;=$A24)*(Turni!$J$5:$J$27&gt;$A24)*(Turni!$B$5:$B$27="RESP"))</f>
        <v>1</v>
      </c>
      <c r="I24" s="131" t="n">
        <f aca="false">IF($A24&lt;Parametri!C$63,0,MAX(Parametri!$B$66,IF(AND($A24&gt;=8/24,$A24&lt;21/24),INDEX(Casse!C$6:C$18,INT($A24*24)-7)+Parametri!$B$17,0)+INT((OreRichieste!C$17-Casse!C$19-Casse!C$25)*$B24/SUMIFS($B$6:$B$68,$A$6:$A$68,"&gt;="&amp;Parametri!C$63)/0.25)))</f>
        <v>5</v>
      </c>
      <c r="J24" s="132" t="str">
        <f aca="false">IF(G24&lt;I24,"KO",IF(AND(G24&gt;0,H24=0),"NO RESP","OK"))</f>
        <v>OK</v>
      </c>
      <c r="K24" s="113" t="n">
        <f aca="false">SUMPRODUCT((Turni!$L$5:$L$27&lt;=$A24)*(Turni!$M$5:$M$27&gt;$A24))</f>
        <v>6</v>
      </c>
      <c r="L24" s="113" t="n">
        <f aca="false">SUMPRODUCT((Turni!$L$5:$L$27&lt;=$A24)*(Turni!$M$5:$M$27&gt;$A24)*(Turni!$B$5:$B$27="RESP"))</f>
        <v>1</v>
      </c>
      <c r="M24" s="131" t="n">
        <f aca="false">IF($A24&lt;Parametri!D$63,0,MAX(Parametri!$B$66,IF(AND($A24&gt;=8/24,$A24&lt;21/24),INDEX(Casse!D$6:D$18,INT($A24*24)-7)+Parametri!$B$17,0)+INT((OreRichieste!D$17-Casse!D$19-Casse!D$25)*$B24/SUMIFS($B$6:$B$68,$A$6:$A$68,"&gt;="&amp;Parametri!D$63)/0.25)))</f>
        <v>5</v>
      </c>
      <c r="N24" s="132" t="str">
        <f aca="false">IF(K24&lt;M24,"KO",IF(AND(K24&gt;0,L24=0),"NO RESP","OK"))</f>
        <v>OK</v>
      </c>
      <c r="O24" s="113" t="n">
        <f aca="false">SUMPRODUCT((Turni!$O$5:$O$27&lt;=$A24)*(Turni!$P$5:$P$27&gt;$A24))</f>
        <v>7</v>
      </c>
      <c r="P24" s="113" t="n">
        <f aca="false">SUMPRODUCT((Turni!$O$5:$O$27&lt;=$A24)*(Turni!$P$5:$P$27&gt;$A24)*(Turni!$B$5:$B$27="RESP"))</f>
        <v>4</v>
      </c>
      <c r="Q24" s="131" t="n">
        <f aca="false">IF($A24&lt;Parametri!E$63,0,MAX(Parametri!$B$66,IF(AND($A24&gt;=8/24,$A24&lt;21/24),INDEX(Casse!E$6:E$18,INT($A24*24)-7)+Parametri!$B$17,0)+INT((OreRichieste!E$17-Casse!E$19-Casse!E$25)*$B24/SUMIFS($B$6:$B$68,$A$6:$A$68,"&gt;="&amp;Parametri!E$63)/0.25)))</f>
        <v>5</v>
      </c>
      <c r="R24" s="132" t="str">
        <f aca="false">IF(O24&lt;Q24,"KO",IF(AND(O24&gt;0,P24=0),"NO RESP","OK"))</f>
        <v>OK</v>
      </c>
      <c r="S24" s="113" t="n">
        <f aca="false">SUMPRODUCT((Turni!$R$5:$R$27&lt;=$A24)*(Turni!$S$5:$S$27&gt;$A24))</f>
        <v>6</v>
      </c>
      <c r="T24" s="113" t="n">
        <f aca="false">SUMPRODUCT((Turni!$R$5:$R$27&lt;=$A24)*(Turni!$S$5:$S$27&gt;$A24)*(Turni!$B$5:$B$27="RESP"))</f>
        <v>2</v>
      </c>
      <c r="U24" s="131" t="n">
        <f aca="false">IF($A24&lt;Parametri!F$63,0,MAX(Parametri!$B$66,IF(AND($A24&gt;=8/24,$A24&lt;21/24),INDEX(Casse!F$6:F$18,INT($A24*24)-7)+Parametri!$B$17,0)+INT((OreRichieste!F$17-Casse!F$19-Casse!F$25)*$B24/SUMIFS($B$6:$B$68,$A$6:$A$68,"&gt;="&amp;Parametri!F$63)/0.25)))</f>
        <v>6</v>
      </c>
      <c r="V24" s="132" t="str">
        <f aca="false">IF(S24&lt;U24,"KO",IF(AND(S24&gt;0,T24=0),"NO RESP","OK"))</f>
        <v>OK</v>
      </c>
      <c r="W24" s="113" t="n">
        <f aca="false">SUMPRODUCT((Turni!$U$5:$U$27&lt;=$A24)*(Turni!$V$5:$V$27&gt;$A24))</f>
        <v>8</v>
      </c>
      <c r="X24" s="113" t="n">
        <f aca="false">SUMPRODUCT((Turni!$U$5:$U$27&lt;=$A24)*(Turni!$V$5:$V$27&gt;$A24)*(Turni!$B$5:$B$27="RESP"))</f>
        <v>3</v>
      </c>
      <c r="Y24" s="131" t="n">
        <f aca="false">IF($A24&lt;Parametri!G$63,0,MAX(Parametri!$B$66,IF(AND($A24&gt;=8/24,$A24&lt;21/24),INDEX(Casse!G$6:G$18,INT($A24*24)-7)+Parametri!$B$17,0)+INT((OreRichieste!G$17-Casse!G$19-Casse!G$25)*$B24/SUMIFS($B$6:$B$68,$A$6:$A$68,"&gt;="&amp;Parametri!G$63)/0.25)))</f>
        <v>6</v>
      </c>
      <c r="Z24" s="132" t="str">
        <f aca="false">IF(W24&lt;Y24,"KO",IF(AND(W24&gt;0,X24=0),"NO RESP","OK"))</f>
        <v>OK</v>
      </c>
      <c r="AA24" s="113" t="n">
        <f aca="false">SUMPRODUCT((Turni!$X$5:$X$27&lt;=$A24)*(Turni!$Y$5:$Y$27&gt;$A24))</f>
        <v>6</v>
      </c>
      <c r="AB24" s="113" t="n">
        <f aca="false">SUMPRODUCT((Turni!$X$5:$X$27&lt;=$A24)*(Turni!$Y$5:$Y$27&gt;$A24)*(Turni!$B$5:$B$27="RESP"))</f>
        <v>2</v>
      </c>
      <c r="AC24" s="131" t="n">
        <f aca="false">IF($A24&lt;Parametri!H$63,0,MAX(Parametri!$B$66,IF(AND($A24&gt;=8/24,$A24&lt;21/24),INDEX(Casse!H$6:H$18,INT($A24*24)-7)+Parametri!$B$17,0)+INT((OreRichieste!H$17-Casse!H$19-Casse!H$25)*$B24/SUMIFS($B$6:$B$68,$A$6:$A$68,"&gt;="&amp;Parametri!H$63)/0.25)))</f>
        <v>5</v>
      </c>
      <c r="AD24" s="132" t="str">
        <f aca="false">IF(AA24&lt;AC24,"KO",IF(AND(AA24&gt;0,AB24=0),"NO RESP","OK"))</f>
        <v>OK</v>
      </c>
      <c r="AE24" s="133" t="s">
        <v>182</v>
      </c>
    </row>
    <row r="25" customFormat="false" ht="15" hidden="false" customHeight="true" outlineLevel="0" collapsed="false">
      <c r="A25" s="129" t="n">
        <v>0.427083333333333</v>
      </c>
      <c r="B25" s="130" t="n">
        <v>1.05</v>
      </c>
      <c r="C25" s="113" t="n">
        <f aca="false">SUMPRODUCT((Turni!$F$5:$F$27&lt;=$A25)*(Turni!$G$5:$G$27&gt;$A25))</f>
        <v>8</v>
      </c>
      <c r="D25" s="113" t="n">
        <f aca="false">SUMPRODUCT((Turni!$F$5:$F$27&lt;=$A25)*(Turni!$G$5:$G$27&gt;$A25)*(Turni!$B$5:$B$27="RESP"))</f>
        <v>3</v>
      </c>
      <c r="E25" s="131" t="n">
        <f aca="false">IF($A25&lt;Parametri!B$63,0,MAX(Parametri!$B$66,IF(AND($A25&gt;=8/24,$A25&lt;21/24),INDEX(Casse!B$6:B$18,INT($A25*24)-7)+Parametri!$B$17,0)+INT((OreRichieste!B$17-Casse!B$19-Casse!B$25)*$B25/SUMIFS($B$6:$B$68,$A$6:$A$68,"&gt;="&amp;Parametri!B$63)/0.25)))</f>
        <v>5</v>
      </c>
      <c r="F25" s="132" t="str">
        <f aca="false">IF(C25&lt;E25,"KO",IF(AND(C25&gt;0,D25=0),"NO RESP","OK"))</f>
        <v>OK</v>
      </c>
      <c r="G25" s="113" t="n">
        <f aca="false">SUMPRODUCT((Turni!$I$5:$I$27&lt;=$A25)*(Turni!$J$5:$J$27&gt;$A25))</f>
        <v>6</v>
      </c>
      <c r="H25" s="113" t="n">
        <f aca="false">SUMPRODUCT((Turni!$I$5:$I$27&lt;=$A25)*(Turni!$J$5:$J$27&gt;$A25)*(Turni!$B$5:$B$27="RESP"))</f>
        <v>1</v>
      </c>
      <c r="I25" s="131" t="n">
        <f aca="false">IF($A25&lt;Parametri!C$63,0,MAX(Parametri!$B$66,IF(AND($A25&gt;=8/24,$A25&lt;21/24),INDEX(Casse!C$6:C$18,INT($A25*24)-7)+Parametri!$B$17,0)+INT((OreRichieste!C$17-Casse!C$19-Casse!C$25)*$B25/SUMIFS($B$6:$B$68,$A$6:$A$68,"&gt;="&amp;Parametri!C$63)/0.25)))</f>
        <v>5</v>
      </c>
      <c r="J25" s="132" t="str">
        <f aca="false">IF(G25&lt;I25,"KO",IF(AND(G25&gt;0,H25=0),"NO RESP","OK"))</f>
        <v>OK</v>
      </c>
      <c r="K25" s="113" t="n">
        <f aca="false">SUMPRODUCT((Turni!$L$5:$L$27&lt;=$A25)*(Turni!$M$5:$M$27&gt;$A25))</f>
        <v>6</v>
      </c>
      <c r="L25" s="113" t="n">
        <f aca="false">SUMPRODUCT((Turni!$L$5:$L$27&lt;=$A25)*(Turni!$M$5:$M$27&gt;$A25)*(Turni!$B$5:$B$27="RESP"))</f>
        <v>1</v>
      </c>
      <c r="M25" s="131" t="n">
        <f aca="false">IF($A25&lt;Parametri!D$63,0,MAX(Parametri!$B$66,IF(AND($A25&gt;=8/24,$A25&lt;21/24),INDEX(Casse!D$6:D$18,INT($A25*24)-7)+Parametri!$B$17,0)+INT((OreRichieste!D$17-Casse!D$19-Casse!D$25)*$B25/SUMIFS($B$6:$B$68,$A$6:$A$68,"&gt;="&amp;Parametri!D$63)/0.25)))</f>
        <v>5</v>
      </c>
      <c r="N25" s="132" t="str">
        <f aca="false">IF(K25&lt;M25,"KO",IF(AND(K25&gt;0,L25=0),"NO RESP","OK"))</f>
        <v>OK</v>
      </c>
      <c r="O25" s="113" t="n">
        <f aca="false">SUMPRODUCT((Turni!$O$5:$O$27&lt;=$A25)*(Turni!$P$5:$P$27&gt;$A25))</f>
        <v>7</v>
      </c>
      <c r="P25" s="113" t="n">
        <f aca="false">SUMPRODUCT((Turni!$O$5:$O$27&lt;=$A25)*(Turni!$P$5:$P$27&gt;$A25)*(Turni!$B$5:$B$27="RESP"))</f>
        <v>4</v>
      </c>
      <c r="Q25" s="131" t="n">
        <f aca="false">IF($A25&lt;Parametri!E$63,0,MAX(Parametri!$B$66,IF(AND($A25&gt;=8/24,$A25&lt;21/24),INDEX(Casse!E$6:E$18,INT($A25*24)-7)+Parametri!$B$17,0)+INT((OreRichieste!E$17-Casse!E$19-Casse!E$25)*$B25/SUMIFS($B$6:$B$68,$A$6:$A$68,"&gt;="&amp;Parametri!E$63)/0.25)))</f>
        <v>5</v>
      </c>
      <c r="R25" s="132" t="str">
        <f aca="false">IF(O25&lt;Q25,"KO",IF(AND(O25&gt;0,P25=0),"NO RESP","OK"))</f>
        <v>OK</v>
      </c>
      <c r="S25" s="113" t="n">
        <f aca="false">SUMPRODUCT((Turni!$R$5:$R$27&lt;=$A25)*(Turni!$S$5:$S$27&gt;$A25))</f>
        <v>6</v>
      </c>
      <c r="T25" s="113" t="n">
        <f aca="false">SUMPRODUCT((Turni!$R$5:$R$27&lt;=$A25)*(Turni!$S$5:$S$27&gt;$A25)*(Turni!$B$5:$B$27="RESP"))</f>
        <v>2</v>
      </c>
      <c r="U25" s="131" t="n">
        <f aca="false">IF($A25&lt;Parametri!F$63,0,MAX(Parametri!$B$66,IF(AND($A25&gt;=8/24,$A25&lt;21/24),INDEX(Casse!F$6:F$18,INT($A25*24)-7)+Parametri!$B$17,0)+INT((OreRichieste!F$17-Casse!F$19-Casse!F$25)*$B25/SUMIFS($B$6:$B$68,$A$6:$A$68,"&gt;="&amp;Parametri!F$63)/0.25)))</f>
        <v>6</v>
      </c>
      <c r="V25" s="132" t="str">
        <f aca="false">IF(S25&lt;U25,"KO",IF(AND(S25&gt;0,T25=0),"NO RESP","OK"))</f>
        <v>OK</v>
      </c>
      <c r="W25" s="113" t="n">
        <f aca="false">SUMPRODUCT((Turni!$U$5:$U$27&lt;=$A25)*(Turni!$V$5:$V$27&gt;$A25))</f>
        <v>8</v>
      </c>
      <c r="X25" s="113" t="n">
        <f aca="false">SUMPRODUCT((Turni!$U$5:$U$27&lt;=$A25)*(Turni!$V$5:$V$27&gt;$A25)*(Turni!$B$5:$B$27="RESP"))</f>
        <v>3</v>
      </c>
      <c r="Y25" s="131" t="n">
        <f aca="false">IF($A25&lt;Parametri!G$63,0,MAX(Parametri!$B$66,IF(AND($A25&gt;=8/24,$A25&lt;21/24),INDEX(Casse!G$6:G$18,INT($A25*24)-7)+Parametri!$B$17,0)+INT((OreRichieste!G$17-Casse!G$19-Casse!G$25)*$B25/SUMIFS($B$6:$B$68,$A$6:$A$68,"&gt;="&amp;Parametri!G$63)/0.25)))</f>
        <v>6</v>
      </c>
      <c r="Z25" s="132" t="str">
        <f aca="false">IF(W25&lt;Y25,"KO",IF(AND(W25&gt;0,X25=0),"NO RESP","OK"))</f>
        <v>OK</v>
      </c>
      <c r="AA25" s="113" t="n">
        <f aca="false">SUMPRODUCT((Turni!$X$5:$X$27&lt;=$A25)*(Turni!$Y$5:$Y$27&gt;$A25))</f>
        <v>6</v>
      </c>
      <c r="AB25" s="113" t="n">
        <f aca="false">SUMPRODUCT((Turni!$X$5:$X$27&lt;=$A25)*(Turni!$Y$5:$Y$27&gt;$A25)*(Turni!$B$5:$B$27="RESP"))</f>
        <v>2</v>
      </c>
      <c r="AC25" s="131" t="n">
        <f aca="false">IF($A25&lt;Parametri!H$63,0,MAX(Parametri!$B$66,IF(AND($A25&gt;=8/24,$A25&lt;21/24),INDEX(Casse!H$6:H$18,INT($A25*24)-7)+Parametri!$B$17,0)+INT((OreRichieste!H$17-Casse!H$19-Casse!H$25)*$B25/SUMIFS($B$6:$B$68,$A$6:$A$68,"&gt;="&amp;Parametri!H$63)/0.25)))</f>
        <v>5</v>
      </c>
      <c r="AD25" s="132" t="str">
        <f aca="false">IF(AA25&lt;AC25,"KO",IF(AND(AA25&gt;0,AB25=0),"NO RESP","OK"))</f>
        <v>OK</v>
      </c>
      <c r="AE25" s="133" t="s">
        <v>183</v>
      </c>
    </row>
    <row r="26" customFormat="false" ht="15" hidden="false" customHeight="true" outlineLevel="0" collapsed="false">
      <c r="A26" s="129" t="n">
        <v>0.4375</v>
      </c>
      <c r="B26" s="130" t="n">
        <v>1.05</v>
      </c>
      <c r="C26" s="113" t="n">
        <f aca="false">SUMPRODUCT((Turni!$F$5:$F$27&lt;=$A26)*(Turni!$G$5:$G$27&gt;$A26))</f>
        <v>5</v>
      </c>
      <c r="D26" s="113" t="n">
        <f aca="false">SUMPRODUCT((Turni!$F$5:$F$27&lt;=$A26)*(Turni!$G$5:$G$27&gt;$A26)*(Turni!$B$5:$B$27="RESP"))</f>
        <v>1</v>
      </c>
      <c r="E26" s="131" t="n">
        <f aca="false">IF($A26&lt;Parametri!B$63,0,MAX(Parametri!$B$66,IF(AND($A26&gt;=8/24,$A26&lt;21/24),INDEX(Casse!B$6:B$18,INT($A26*24)-7)+Parametri!$B$17,0)+INT((OreRichieste!B$17-Casse!B$19-Casse!B$25)*$B26/SUMIFS($B$6:$B$68,$A$6:$A$68,"&gt;="&amp;Parametri!B$63)/0.25)))</f>
        <v>5</v>
      </c>
      <c r="F26" s="132" t="str">
        <f aca="false">IF(C26&lt;E26,"KO",IF(AND(C26&gt;0,D26=0),"NO RESP","OK"))</f>
        <v>OK</v>
      </c>
      <c r="G26" s="113" t="n">
        <f aca="false">SUMPRODUCT((Turni!$I$5:$I$27&lt;=$A26)*(Turni!$J$5:$J$27&gt;$A26))</f>
        <v>6</v>
      </c>
      <c r="H26" s="113" t="n">
        <f aca="false">SUMPRODUCT((Turni!$I$5:$I$27&lt;=$A26)*(Turni!$J$5:$J$27&gt;$A26)*(Turni!$B$5:$B$27="RESP"))</f>
        <v>1</v>
      </c>
      <c r="I26" s="131" t="n">
        <f aca="false">IF($A26&lt;Parametri!C$63,0,MAX(Parametri!$B$66,IF(AND($A26&gt;=8/24,$A26&lt;21/24),INDEX(Casse!C$6:C$18,INT($A26*24)-7)+Parametri!$B$17,0)+INT((OreRichieste!C$17-Casse!C$19-Casse!C$25)*$B26/SUMIFS($B$6:$B$68,$A$6:$A$68,"&gt;="&amp;Parametri!C$63)/0.25)))</f>
        <v>5</v>
      </c>
      <c r="J26" s="132" t="str">
        <f aca="false">IF(G26&lt;I26,"KO",IF(AND(G26&gt;0,H26=0),"NO RESP","OK"))</f>
        <v>OK</v>
      </c>
      <c r="K26" s="113" t="n">
        <f aca="false">SUMPRODUCT((Turni!$L$5:$L$27&lt;=$A26)*(Turni!$M$5:$M$27&gt;$A26))</f>
        <v>6</v>
      </c>
      <c r="L26" s="113" t="n">
        <f aca="false">SUMPRODUCT((Turni!$L$5:$L$27&lt;=$A26)*(Turni!$M$5:$M$27&gt;$A26)*(Turni!$B$5:$B$27="RESP"))</f>
        <v>1</v>
      </c>
      <c r="M26" s="131" t="n">
        <f aca="false">IF($A26&lt;Parametri!D$63,0,MAX(Parametri!$B$66,IF(AND($A26&gt;=8/24,$A26&lt;21/24),INDEX(Casse!D$6:D$18,INT($A26*24)-7)+Parametri!$B$17,0)+INT((OreRichieste!D$17-Casse!D$19-Casse!D$25)*$B26/SUMIFS($B$6:$B$68,$A$6:$A$68,"&gt;="&amp;Parametri!D$63)/0.25)))</f>
        <v>5</v>
      </c>
      <c r="N26" s="132" t="str">
        <f aca="false">IF(K26&lt;M26,"KO",IF(AND(K26&gt;0,L26=0),"NO RESP","OK"))</f>
        <v>OK</v>
      </c>
      <c r="O26" s="113" t="n">
        <f aca="false">SUMPRODUCT((Turni!$O$5:$O$27&lt;=$A26)*(Turni!$P$5:$P$27&gt;$A26))</f>
        <v>6</v>
      </c>
      <c r="P26" s="113" t="n">
        <f aca="false">SUMPRODUCT((Turni!$O$5:$O$27&lt;=$A26)*(Turni!$P$5:$P$27&gt;$A26)*(Turni!$B$5:$B$27="RESP"))</f>
        <v>4</v>
      </c>
      <c r="Q26" s="131" t="n">
        <f aca="false">IF($A26&lt;Parametri!E$63,0,MAX(Parametri!$B$66,IF(AND($A26&gt;=8/24,$A26&lt;21/24),INDEX(Casse!E$6:E$18,INT($A26*24)-7)+Parametri!$B$17,0)+INT((OreRichieste!E$17-Casse!E$19-Casse!E$25)*$B26/SUMIFS($B$6:$B$68,$A$6:$A$68,"&gt;="&amp;Parametri!E$63)/0.25)))</f>
        <v>5</v>
      </c>
      <c r="R26" s="132" t="str">
        <f aca="false">IF(O26&lt;Q26,"KO",IF(AND(O26&gt;0,P26=0),"NO RESP","OK"))</f>
        <v>OK</v>
      </c>
      <c r="S26" s="113" t="n">
        <f aca="false">SUMPRODUCT((Turni!$R$5:$R$27&lt;=$A26)*(Turni!$S$5:$S$27&gt;$A26))</f>
        <v>6</v>
      </c>
      <c r="T26" s="113" t="n">
        <f aca="false">SUMPRODUCT((Turni!$R$5:$R$27&lt;=$A26)*(Turni!$S$5:$S$27&gt;$A26)*(Turni!$B$5:$B$27="RESP"))</f>
        <v>2</v>
      </c>
      <c r="U26" s="131" t="n">
        <f aca="false">IF($A26&lt;Parametri!F$63,0,MAX(Parametri!$B$66,IF(AND($A26&gt;=8/24,$A26&lt;21/24),INDEX(Casse!F$6:F$18,INT($A26*24)-7)+Parametri!$B$17,0)+INT((OreRichieste!F$17-Casse!F$19-Casse!F$25)*$B26/SUMIFS($B$6:$B$68,$A$6:$A$68,"&gt;="&amp;Parametri!F$63)/0.25)))</f>
        <v>6</v>
      </c>
      <c r="V26" s="132" t="str">
        <f aca="false">IF(S26&lt;U26,"KO",IF(AND(S26&gt;0,T26=0),"NO RESP","OK"))</f>
        <v>OK</v>
      </c>
      <c r="W26" s="113" t="n">
        <f aca="false">SUMPRODUCT((Turni!$U$5:$U$27&lt;=$A26)*(Turni!$V$5:$V$27&gt;$A26))</f>
        <v>6</v>
      </c>
      <c r="X26" s="113" t="n">
        <f aca="false">SUMPRODUCT((Turni!$U$5:$U$27&lt;=$A26)*(Turni!$V$5:$V$27&gt;$A26)*(Turni!$B$5:$B$27="RESP"))</f>
        <v>2</v>
      </c>
      <c r="Y26" s="131" t="n">
        <f aca="false">IF($A26&lt;Parametri!G$63,0,MAX(Parametri!$B$66,IF(AND($A26&gt;=8/24,$A26&lt;21/24),INDEX(Casse!G$6:G$18,INT($A26*24)-7)+Parametri!$B$17,0)+INT((OreRichieste!G$17-Casse!G$19-Casse!G$25)*$B26/SUMIFS($B$6:$B$68,$A$6:$A$68,"&gt;="&amp;Parametri!G$63)/0.25)))</f>
        <v>6</v>
      </c>
      <c r="Z26" s="132" t="str">
        <f aca="false">IF(W26&lt;Y26,"KO",IF(AND(W26&gt;0,X26=0),"NO RESP","OK"))</f>
        <v>OK</v>
      </c>
      <c r="AA26" s="113" t="n">
        <f aca="false">SUMPRODUCT((Turni!$X$5:$X$27&lt;=$A26)*(Turni!$Y$5:$Y$27&gt;$A26))</f>
        <v>6</v>
      </c>
      <c r="AB26" s="113" t="n">
        <f aca="false">SUMPRODUCT((Turni!$X$5:$X$27&lt;=$A26)*(Turni!$Y$5:$Y$27&gt;$A26)*(Turni!$B$5:$B$27="RESP"))</f>
        <v>2</v>
      </c>
      <c r="AC26" s="131" t="n">
        <f aca="false">IF($A26&lt;Parametri!H$63,0,MAX(Parametri!$B$66,IF(AND($A26&gt;=8/24,$A26&lt;21/24),INDEX(Casse!H$6:H$18,INT($A26*24)-7)+Parametri!$B$17,0)+INT((OreRichieste!H$17-Casse!H$19-Casse!H$25)*$B26/SUMIFS($B$6:$B$68,$A$6:$A$68,"&gt;="&amp;Parametri!H$63)/0.25)))</f>
        <v>5</v>
      </c>
      <c r="AD26" s="132" t="str">
        <f aca="false">IF(AA26&lt;AC26,"KO",IF(AND(AA26&gt;0,AB26=0),"NO RESP","OK"))</f>
        <v>OK</v>
      </c>
      <c r="AE26" s="133" t="s">
        <v>184</v>
      </c>
    </row>
    <row r="27" customFormat="false" ht="15" hidden="false" customHeight="true" outlineLevel="0" collapsed="false">
      <c r="A27" s="129" t="n">
        <v>0.447916666666667</v>
      </c>
      <c r="B27" s="130" t="n">
        <v>1.05</v>
      </c>
      <c r="C27" s="113" t="n">
        <f aca="false">SUMPRODUCT((Turni!$F$5:$F$27&lt;=$A27)*(Turni!$G$5:$G$27&gt;$A27))</f>
        <v>5</v>
      </c>
      <c r="D27" s="113" t="n">
        <f aca="false">SUMPRODUCT((Turni!$F$5:$F$27&lt;=$A27)*(Turni!$G$5:$G$27&gt;$A27)*(Turni!$B$5:$B$27="RESP"))</f>
        <v>1</v>
      </c>
      <c r="E27" s="131" t="n">
        <f aca="false">IF($A27&lt;Parametri!B$63,0,MAX(Parametri!$B$66,IF(AND($A27&gt;=8/24,$A27&lt;21/24),INDEX(Casse!B$6:B$18,INT($A27*24)-7)+Parametri!$B$17,0)+INT((OreRichieste!B$17-Casse!B$19-Casse!B$25)*$B27/SUMIFS($B$6:$B$68,$A$6:$A$68,"&gt;="&amp;Parametri!B$63)/0.25)))</f>
        <v>5</v>
      </c>
      <c r="F27" s="132" t="str">
        <f aca="false">IF(C27&lt;E27,"KO",IF(AND(C27&gt;0,D27=0),"NO RESP","OK"))</f>
        <v>OK</v>
      </c>
      <c r="G27" s="113" t="n">
        <f aca="false">SUMPRODUCT((Turni!$I$5:$I$27&lt;=$A27)*(Turni!$J$5:$J$27&gt;$A27))</f>
        <v>6</v>
      </c>
      <c r="H27" s="113" t="n">
        <f aca="false">SUMPRODUCT((Turni!$I$5:$I$27&lt;=$A27)*(Turni!$J$5:$J$27&gt;$A27)*(Turni!$B$5:$B$27="RESP"))</f>
        <v>1</v>
      </c>
      <c r="I27" s="131" t="n">
        <f aca="false">IF($A27&lt;Parametri!C$63,0,MAX(Parametri!$B$66,IF(AND($A27&gt;=8/24,$A27&lt;21/24),INDEX(Casse!C$6:C$18,INT($A27*24)-7)+Parametri!$B$17,0)+INT((OreRichieste!C$17-Casse!C$19-Casse!C$25)*$B27/SUMIFS($B$6:$B$68,$A$6:$A$68,"&gt;="&amp;Parametri!C$63)/0.25)))</f>
        <v>5</v>
      </c>
      <c r="J27" s="132" t="str">
        <f aca="false">IF(G27&lt;I27,"KO",IF(AND(G27&gt;0,H27=0),"NO RESP","OK"))</f>
        <v>OK</v>
      </c>
      <c r="K27" s="113" t="n">
        <f aca="false">SUMPRODUCT((Turni!$L$5:$L$27&lt;=$A27)*(Turni!$M$5:$M$27&gt;$A27))</f>
        <v>6</v>
      </c>
      <c r="L27" s="113" t="n">
        <f aca="false">SUMPRODUCT((Turni!$L$5:$L$27&lt;=$A27)*(Turni!$M$5:$M$27&gt;$A27)*(Turni!$B$5:$B$27="RESP"))</f>
        <v>1</v>
      </c>
      <c r="M27" s="131" t="n">
        <f aca="false">IF($A27&lt;Parametri!D$63,0,MAX(Parametri!$B$66,IF(AND($A27&gt;=8/24,$A27&lt;21/24),INDEX(Casse!D$6:D$18,INT($A27*24)-7)+Parametri!$B$17,0)+INT((OreRichieste!D$17-Casse!D$19-Casse!D$25)*$B27/SUMIFS($B$6:$B$68,$A$6:$A$68,"&gt;="&amp;Parametri!D$63)/0.25)))</f>
        <v>5</v>
      </c>
      <c r="N27" s="132" t="str">
        <f aca="false">IF(K27&lt;M27,"KO",IF(AND(K27&gt;0,L27=0),"NO RESP","OK"))</f>
        <v>OK</v>
      </c>
      <c r="O27" s="113" t="n">
        <f aca="false">SUMPRODUCT((Turni!$O$5:$O$27&lt;=$A27)*(Turni!$P$5:$P$27&gt;$A27))</f>
        <v>6</v>
      </c>
      <c r="P27" s="113" t="n">
        <f aca="false">SUMPRODUCT((Turni!$O$5:$O$27&lt;=$A27)*(Turni!$P$5:$P$27&gt;$A27)*(Turni!$B$5:$B$27="RESP"))</f>
        <v>4</v>
      </c>
      <c r="Q27" s="131" t="n">
        <f aca="false">IF($A27&lt;Parametri!E$63,0,MAX(Parametri!$B$66,IF(AND($A27&gt;=8/24,$A27&lt;21/24),INDEX(Casse!E$6:E$18,INT($A27*24)-7)+Parametri!$B$17,0)+INT((OreRichieste!E$17-Casse!E$19-Casse!E$25)*$B27/SUMIFS($B$6:$B$68,$A$6:$A$68,"&gt;="&amp;Parametri!E$63)/0.25)))</f>
        <v>5</v>
      </c>
      <c r="R27" s="132" t="str">
        <f aca="false">IF(O27&lt;Q27,"KO",IF(AND(O27&gt;0,P27=0),"NO RESP","OK"))</f>
        <v>OK</v>
      </c>
      <c r="S27" s="113" t="n">
        <f aca="false">SUMPRODUCT((Turni!$R$5:$R$27&lt;=$A27)*(Turni!$S$5:$S$27&gt;$A27))</f>
        <v>6</v>
      </c>
      <c r="T27" s="113" t="n">
        <f aca="false">SUMPRODUCT((Turni!$R$5:$R$27&lt;=$A27)*(Turni!$S$5:$S$27&gt;$A27)*(Turni!$B$5:$B$27="RESP"))</f>
        <v>2</v>
      </c>
      <c r="U27" s="131" t="n">
        <f aca="false">IF($A27&lt;Parametri!F$63,0,MAX(Parametri!$B$66,IF(AND($A27&gt;=8/24,$A27&lt;21/24),INDEX(Casse!F$6:F$18,INT($A27*24)-7)+Parametri!$B$17,0)+INT((OreRichieste!F$17-Casse!F$19-Casse!F$25)*$B27/SUMIFS($B$6:$B$68,$A$6:$A$68,"&gt;="&amp;Parametri!F$63)/0.25)))</f>
        <v>6</v>
      </c>
      <c r="V27" s="132" t="str">
        <f aca="false">IF(S27&lt;U27,"KO",IF(AND(S27&gt;0,T27=0),"NO RESP","OK"))</f>
        <v>OK</v>
      </c>
      <c r="W27" s="113" t="n">
        <f aca="false">SUMPRODUCT((Turni!$U$5:$U$27&lt;=$A27)*(Turni!$V$5:$V$27&gt;$A27))</f>
        <v>6</v>
      </c>
      <c r="X27" s="113" t="n">
        <f aca="false">SUMPRODUCT((Turni!$U$5:$U$27&lt;=$A27)*(Turni!$V$5:$V$27&gt;$A27)*(Turni!$B$5:$B$27="RESP"))</f>
        <v>2</v>
      </c>
      <c r="Y27" s="131" t="n">
        <f aca="false">IF($A27&lt;Parametri!G$63,0,MAX(Parametri!$B$66,IF(AND($A27&gt;=8/24,$A27&lt;21/24),INDEX(Casse!G$6:G$18,INT($A27*24)-7)+Parametri!$B$17,0)+INT((OreRichieste!G$17-Casse!G$19-Casse!G$25)*$B27/SUMIFS($B$6:$B$68,$A$6:$A$68,"&gt;="&amp;Parametri!G$63)/0.25)))</f>
        <v>6</v>
      </c>
      <c r="Z27" s="132" t="str">
        <f aca="false">IF(W27&lt;Y27,"KO",IF(AND(W27&gt;0,X27=0),"NO RESP","OK"))</f>
        <v>OK</v>
      </c>
      <c r="AA27" s="113" t="n">
        <f aca="false">SUMPRODUCT((Turni!$X$5:$X$27&lt;=$A27)*(Turni!$Y$5:$Y$27&gt;$A27))</f>
        <v>6</v>
      </c>
      <c r="AB27" s="113" t="n">
        <f aca="false">SUMPRODUCT((Turni!$X$5:$X$27&lt;=$A27)*(Turni!$Y$5:$Y$27&gt;$A27)*(Turni!$B$5:$B$27="RESP"))</f>
        <v>2</v>
      </c>
      <c r="AC27" s="131" t="n">
        <f aca="false">IF($A27&lt;Parametri!H$63,0,MAX(Parametri!$B$66,IF(AND($A27&gt;=8/24,$A27&lt;21/24),INDEX(Casse!H$6:H$18,INT($A27*24)-7)+Parametri!$B$17,0)+INT((OreRichieste!H$17-Casse!H$19-Casse!H$25)*$B27/SUMIFS($B$6:$B$68,$A$6:$A$68,"&gt;="&amp;Parametri!H$63)/0.25)))</f>
        <v>5</v>
      </c>
      <c r="AD27" s="132" t="str">
        <f aca="false">IF(AA27&lt;AC27,"KO",IF(AND(AA27&gt;0,AB27=0),"NO RESP","OK"))</f>
        <v>OK</v>
      </c>
      <c r="AE27" s="133" t="s">
        <v>185</v>
      </c>
    </row>
    <row r="28" customFormat="false" ht="15" hidden="false" customHeight="true" outlineLevel="0" collapsed="false">
      <c r="A28" s="129" t="n">
        <v>0.458333333333333</v>
      </c>
      <c r="B28" s="130" t="n">
        <v>1.05</v>
      </c>
      <c r="C28" s="113" t="n">
        <f aca="false">SUMPRODUCT((Turni!$F$5:$F$27&lt;=$A28)*(Turni!$G$5:$G$27&gt;$A28))</f>
        <v>6</v>
      </c>
      <c r="D28" s="113" t="n">
        <f aca="false">SUMPRODUCT((Turni!$F$5:$F$27&lt;=$A28)*(Turni!$G$5:$G$27&gt;$A28)*(Turni!$B$5:$B$27="RESP"))</f>
        <v>1</v>
      </c>
      <c r="E28" s="131" t="n">
        <f aca="false">IF($A28&lt;Parametri!B$63,0,MAX(Parametri!$B$66,IF(AND($A28&gt;=8/24,$A28&lt;21/24),INDEX(Casse!B$6:B$18,INT($A28*24)-7)+Parametri!$B$17,0)+INT((OreRichieste!B$17-Casse!B$19-Casse!B$25)*$B28/SUMIFS($B$6:$B$68,$A$6:$A$68,"&gt;="&amp;Parametri!B$63)/0.25)))</f>
        <v>6</v>
      </c>
      <c r="F28" s="132" t="str">
        <f aca="false">IF(C28&lt;E28,"KO",IF(AND(C28&gt;0,D28=0),"NO RESP","OK"))</f>
        <v>OK</v>
      </c>
      <c r="G28" s="113" t="n">
        <f aca="false">SUMPRODUCT((Turni!$I$5:$I$27&lt;=$A28)*(Turni!$J$5:$J$27&gt;$A28))</f>
        <v>5</v>
      </c>
      <c r="H28" s="113" t="n">
        <f aca="false">SUMPRODUCT((Turni!$I$5:$I$27&lt;=$A28)*(Turni!$J$5:$J$27&gt;$A28)*(Turni!$B$5:$B$27="RESP"))</f>
        <v>1</v>
      </c>
      <c r="I28" s="131" t="n">
        <f aca="false">IF($A28&lt;Parametri!C$63,0,MAX(Parametri!$B$66,IF(AND($A28&gt;=8/24,$A28&lt;21/24),INDEX(Casse!C$6:C$18,INT($A28*24)-7)+Parametri!$B$17,0)+INT((OreRichieste!C$17-Casse!C$19-Casse!C$25)*$B28/SUMIFS($B$6:$B$68,$A$6:$A$68,"&gt;="&amp;Parametri!C$63)/0.25)))</f>
        <v>5</v>
      </c>
      <c r="J28" s="132" t="str">
        <f aca="false">IF(G28&lt;I28,"KO",IF(AND(G28&gt;0,H28=0),"NO RESP","OK"))</f>
        <v>OK</v>
      </c>
      <c r="K28" s="113" t="n">
        <f aca="false">SUMPRODUCT((Turni!$L$5:$L$27&lt;=$A28)*(Turni!$M$5:$M$27&gt;$A28))</f>
        <v>6</v>
      </c>
      <c r="L28" s="113" t="n">
        <f aca="false">SUMPRODUCT((Turni!$L$5:$L$27&lt;=$A28)*(Turni!$M$5:$M$27&gt;$A28)*(Turni!$B$5:$B$27="RESP"))</f>
        <v>2</v>
      </c>
      <c r="M28" s="131" t="n">
        <f aca="false">IF($A28&lt;Parametri!D$63,0,MAX(Parametri!$B$66,IF(AND($A28&gt;=8/24,$A28&lt;21/24),INDEX(Casse!D$6:D$18,INT($A28*24)-7)+Parametri!$B$17,0)+INT((OreRichieste!D$17-Casse!D$19-Casse!D$25)*$B28/SUMIFS($B$6:$B$68,$A$6:$A$68,"&gt;="&amp;Parametri!D$63)/0.25)))</f>
        <v>5</v>
      </c>
      <c r="N28" s="132" t="str">
        <f aca="false">IF(K28&lt;M28,"KO",IF(AND(K28&gt;0,L28=0),"NO RESP","OK"))</f>
        <v>OK</v>
      </c>
      <c r="O28" s="113" t="n">
        <f aca="false">SUMPRODUCT((Turni!$O$5:$O$27&lt;=$A28)*(Turni!$P$5:$P$27&gt;$A28))</f>
        <v>6</v>
      </c>
      <c r="P28" s="113" t="n">
        <f aca="false">SUMPRODUCT((Turni!$O$5:$O$27&lt;=$A28)*(Turni!$P$5:$P$27&gt;$A28)*(Turni!$B$5:$B$27="RESP"))</f>
        <v>2</v>
      </c>
      <c r="Q28" s="131" t="n">
        <f aca="false">IF($A28&lt;Parametri!E$63,0,MAX(Parametri!$B$66,IF(AND($A28&gt;=8/24,$A28&lt;21/24),INDEX(Casse!E$6:E$18,INT($A28*24)-7)+Parametri!$B$17,0)+INT((OreRichieste!E$17-Casse!E$19-Casse!E$25)*$B28/SUMIFS($B$6:$B$68,$A$6:$A$68,"&gt;="&amp;Parametri!E$63)/0.25)))</f>
        <v>6</v>
      </c>
      <c r="R28" s="132" t="str">
        <f aca="false">IF(O28&lt;Q28,"KO",IF(AND(O28&gt;0,P28=0),"NO RESP","OK"))</f>
        <v>OK</v>
      </c>
      <c r="S28" s="113" t="n">
        <f aca="false">SUMPRODUCT((Turni!$R$5:$R$27&lt;=$A28)*(Turni!$S$5:$S$27&gt;$A28))</f>
        <v>6</v>
      </c>
      <c r="T28" s="113" t="n">
        <f aca="false">SUMPRODUCT((Turni!$R$5:$R$27&lt;=$A28)*(Turni!$S$5:$S$27&gt;$A28)*(Turni!$B$5:$B$27="RESP"))</f>
        <v>2</v>
      </c>
      <c r="U28" s="131" t="n">
        <f aca="false">IF($A28&lt;Parametri!F$63,0,MAX(Parametri!$B$66,IF(AND($A28&gt;=8/24,$A28&lt;21/24),INDEX(Casse!F$6:F$18,INT($A28*24)-7)+Parametri!$B$17,0)+INT((OreRichieste!F$17-Casse!F$19-Casse!F$25)*$B28/SUMIFS($B$6:$B$68,$A$6:$A$68,"&gt;="&amp;Parametri!F$63)/0.25)))</f>
        <v>6</v>
      </c>
      <c r="V28" s="132" t="str">
        <f aca="false">IF(S28&lt;U28,"KO",IF(AND(S28&gt;0,T28=0),"NO RESP","OK"))</f>
        <v>OK</v>
      </c>
      <c r="W28" s="113" t="n">
        <f aca="false">SUMPRODUCT((Turni!$U$5:$U$27&lt;=$A28)*(Turni!$V$5:$V$27&gt;$A28))</f>
        <v>6</v>
      </c>
      <c r="X28" s="113" t="n">
        <f aca="false">SUMPRODUCT((Turni!$U$5:$U$27&lt;=$A28)*(Turni!$V$5:$V$27&gt;$A28)*(Turni!$B$5:$B$27="RESP"))</f>
        <v>1</v>
      </c>
      <c r="Y28" s="131" t="n">
        <f aca="false">IF($A28&lt;Parametri!G$63,0,MAX(Parametri!$B$66,IF(AND($A28&gt;=8/24,$A28&lt;21/24),INDEX(Casse!G$6:G$18,INT($A28*24)-7)+Parametri!$B$17,0)+INT((OreRichieste!G$17-Casse!G$19-Casse!G$25)*$B28/SUMIFS($B$6:$B$68,$A$6:$A$68,"&gt;="&amp;Parametri!G$63)/0.25)))</f>
        <v>6</v>
      </c>
      <c r="Z28" s="132" t="str">
        <f aca="false">IF(W28&lt;Y28,"KO",IF(AND(W28&gt;0,X28=0),"NO RESP","OK"))</f>
        <v>OK</v>
      </c>
      <c r="AA28" s="113" t="n">
        <f aca="false">SUMPRODUCT((Turni!$X$5:$X$27&lt;=$A28)*(Turni!$Y$5:$Y$27&gt;$A28))</f>
        <v>5</v>
      </c>
      <c r="AB28" s="113" t="n">
        <f aca="false">SUMPRODUCT((Turni!$X$5:$X$27&lt;=$A28)*(Turni!$Y$5:$Y$27&gt;$A28)*(Turni!$B$5:$B$27="RESP"))</f>
        <v>2</v>
      </c>
      <c r="AC28" s="131" t="n">
        <f aca="false">IF($A28&lt;Parametri!H$63,0,MAX(Parametri!$B$66,IF(AND($A28&gt;=8/24,$A28&lt;21/24),INDEX(Casse!H$6:H$18,INT($A28*24)-7)+Parametri!$B$17,0)+INT((OreRichieste!H$17-Casse!H$19-Casse!H$25)*$B28/SUMIFS($B$6:$B$68,$A$6:$A$68,"&gt;="&amp;Parametri!H$63)/0.25)))</f>
        <v>5</v>
      </c>
      <c r="AD28" s="132" t="str">
        <f aca="false">IF(AA28&lt;AC28,"KO",IF(AND(AA28&gt;0,AB28=0),"NO RESP","OK"))</f>
        <v>OK</v>
      </c>
      <c r="AE28" s="133" t="s">
        <v>186</v>
      </c>
    </row>
    <row r="29" customFormat="false" ht="15" hidden="false" customHeight="true" outlineLevel="0" collapsed="false">
      <c r="A29" s="129" t="n">
        <v>0.46875</v>
      </c>
      <c r="B29" s="130" t="n">
        <v>1.05</v>
      </c>
      <c r="C29" s="113" t="n">
        <f aca="false">SUMPRODUCT((Turni!$F$5:$F$27&lt;=$A29)*(Turni!$G$5:$G$27&gt;$A29))</f>
        <v>6</v>
      </c>
      <c r="D29" s="113" t="n">
        <f aca="false">SUMPRODUCT((Turni!$F$5:$F$27&lt;=$A29)*(Turni!$G$5:$G$27&gt;$A29)*(Turni!$B$5:$B$27="RESP"))</f>
        <v>1</v>
      </c>
      <c r="E29" s="131" t="n">
        <f aca="false">IF($A29&lt;Parametri!B$63,0,MAX(Parametri!$B$66,IF(AND($A29&gt;=8/24,$A29&lt;21/24),INDEX(Casse!B$6:B$18,INT($A29*24)-7)+Parametri!$B$17,0)+INT((OreRichieste!B$17-Casse!B$19-Casse!B$25)*$B29/SUMIFS($B$6:$B$68,$A$6:$A$68,"&gt;="&amp;Parametri!B$63)/0.25)))</f>
        <v>6</v>
      </c>
      <c r="F29" s="132" t="str">
        <f aca="false">IF(C29&lt;E29,"KO",IF(AND(C29&gt;0,D29=0),"NO RESP","OK"))</f>
        <v>OK</v>
      </c>
      <c r="G29" s="113" t="n">
        <f aca="false">SUMPRODUCT((Turni!$I$5:$I$27&lt;=$A29)*(Turni!$J$5:$J$27&gt;$A29))</f>
        <v>5</v>
      </c>
      <c r="H29" s="113" t="n">
        <f aca="false">SUMPRODUCT((Turni!$I$5:$I$27&lt;=$A29)*(Turni!$J$5:$J$27&gt;$A29)*(Turni!$B$5:$B$27="RESP"))</f>
        <v>1</v>
      </c>
      <c r="I29" s="131" t="n">
        <f aca="false">IF($A29&lt;Parametri!C$63,0,MAX(Parametri!$B$66,IF(AND($A29&gt;=8/24,$A29&lt;21/24),INDEX(Casse!C$6:C$18,INT($A29*24)-7)+Parametri!$B$17,0)+INT((OreRichieste!C$17-Casse!C$19-Casse!C$25)*$B29/SUMIFS($B$6:$B$68,$A$6:$A$68,"&gt;="&amp;Parametri!C$63)/0.25)))</f>
        <v>5</v>
      </c>
      <c r="J29" s="132" t="str">
        <f aca="false">IF(G29&lt;I29,"KO",IF(AND(G29&gt;0,H29=0),"NO RESP","OK"))</f>
        <v>OK</v>
      </c>
      <c r="K29" s="113" t="n">
        <f aca="false">SUMPRODUCT((Turni!$L$5:$L$27&lt;=$A29)*(Turni!$M$5:$M$27&gt;$A29))</f>
        <v>6</v>
      </c>
      <c r="L29" s="113" t="n">
        <f aca="false">SUMPRODUCT((Turni!$L$5:$L$27&lt;=$A29)*(Turni!$M$5:$M$27&gt;$A29)*(Turni!$B$5:$B$27="RESP"))</f>
        <v>2</v>
      </c>
      <c r="M29" s="131" t="n">
        <f aca="false">IF($A29&lt;Parametri!D$63,0,MAX(Parametri!$B$66,IF(AND($A29&gt;=8/24,$A29&lt;21/24),INDEX(Casse!D$6:D$18,INT($A29*24)-7)+Parametri!$B$17,0)+INT((OreRichieste!D$17-Casse!D$19-Casse!D$25)*$B29/SUMIFS($B$6:$B$68,$A$6:$A$68,"&gt;="&amp;Parametri!D$63)/0.25)))</f>
        <v>5</v>
      </c>
      <c r="N29" s="132" t="str">
        <f aca="false">IF(K29&lt;M29,"KO",IF(AND(K29&gt;0,L29=0),"NO RESP","OK"))</f>
        <v>OK</v>
      </c>
      <c r="O29" s="113" t="n">
        <f aca="false">SUMPRODUCT((Turni!$O$5:$O$27&lt;=$A29)*(Turni!$P$5:$P$27&gt;$A29))</f>
        <v>6</v>
      </c>
      <c r="P29" s="113" t="n">
        <f aca="false">SUMPRODUCT((Turni!$O$5:$O$27&lt;=$A29)*(Turni!$P$5:$P$27&gt;$A29)*(Turni!$B$5:$B$27="RESP"))</f>
        <v>2</v>
      </c>
      <c r="Q29" s="131" t="n">
        <f aca="false">IF($A29&lt;Parametri!E$63,0,MAX(Parametri!$B$66,IF(AND($A29&gt;=8/24,$A29&lt;21/24),INDEX(Casse!E$6:E$18,INT($A29*24)-7)+Parametri!$B$17,0)+INT((OreRichieste!E$17-Casse!E$19-Casse!E$25)*$B29/SUMIFS($B$6:$B$68,$A$6:$A$68,"&gt;="&amp;Parametri!E$63)/0.25)))</f>
        <v>6</v>
      </c>
      <c r="R29" s="132" t="str">
        <f aca="false">IF(O29&lt;Q29,"KO",IF(AND(O29&gt;0,P29=0),"NO RESP","OK"))</f>
        <v>OK</v>
      </c>
      <c r="S29" s="113" t="n">
        <f aca="false">SUMPRODUCT((Turni!$R$5:$R$27&lt;=$A29)*(Turni!$S$5:$S$27&gt;$A29))</f>
        <v>6</v>
      </c>
      <c r="T29" s="113" t="n">
        <f aca="false">SUMPRODUCT((Turni!$R$5:$R$27&lt;=$A29)*(Turni!$S$5:$S$27&gt;$A29)*(Turni!$B$5:$B$27="RESP"))</f>
        <v>2</v>
      </c>
      <c r="U29" s="131" t="n">
        <f aca="false">IF($A29&lt;Parametri!F$63,0,MAX(Parametri!$B$66,IF(AND($A29&gt;=8/24,$A29&lt;21/24),INDEX(Casse!F$6:F$18,INT($A29*24)-7)+Parametri!$B$17,0)+INT((OreRichieste!F$17-Casse!F$19-Casse!F$25)*$B29/SUMIFS($B$6:$B$68,$A$6:$A$68,"&gt;="&amp;Parametri!F$63)/0.25)))</f>
        <v>6</v>
      </c>
      <c r="V29" s="132" t="str">
        <f aca="false">IF(S29&lt;U29,"KO",IF(AND(S29&gt;0,T29=0),"NO RESP","OK"))</f>
        <v>OK</v>
      </c>
      <c r="W29" s="113" t="n">
        <f aca="false">SUMPRODUCT((Turni!$U$5:$U$27&lt;=$A29)*(Turni!$V$5:$V$27&gt;$A29))</f>
        <v>6</v>
      </c>
      <c r="X29" s="113" t="n">
        <f aca="false">SUMPRODUCT((Turni!$U$5:$U$27&lt;=$A29)*(Turni!$V$5:$V$27&gt;$A29)*(Turni!$B$5:$B$27="RESP"))</f>
        <v>1</v>
      </c>
      <c r="Y29" s="131" t="n">
        <f aca="false">IF($A29&lt;Parametri!G$63,0,MAX(Parametri!$B$66,IF(AND($A29&gt;=8/24,$A29&lt;21/24),INDEX(Casse!G$6:G$18,INT($A29*24)-7)+Parametri!$B$17,0)+INT((OreRichieste!G$17-Casse!G$19-Casse!G$25)*$B29/SUMIFS($B$6:$B$68,$A$6:$A$68,"&gt;="&amp;Parametri!G$63)/0.25)))</f>
        <v>6</v>
      </c>
      <c r="Z29" s="132" t="str">
        <f aca="false">IF(W29&lt;Y29,"KO",IF(AND(W29&gt;0,X29=0),"NO RESP","OK"))</f>
        <v>OK</v>
      </c>
      <c r="AA29" s="113" t="n">
        <f aca="false">SUMPRODUCT((Turni!$X$5:$X$27&lt;=$A29)*(Turni!$Y$5:$Y$27&gt;$A29))</f>
        <v>5</v>
      </c>
      <c r="AB29" s="113" t="n">
        <f aca="false">SUMPRODUCT((Turni!$X$5:$X$27&lt;=$A29)*(Turni!$Y$5:$Y$27&gt;$A29)*(Turni!$B$5:$B$27="RESP"))</f>
        <v>2</v>
      </c>
      <c r="AC29" s="131" t="n">
        <f aca="false">IF($A29&lt;Parametri!H$63,0,MAX(Parametri!$B$66,IF(AND($A29&gt;=8/24,$A29&lt;21/24),INDEX(Casse!H$6:H$18,INT($A29*24)-7)+Parametri!$B$17,0)+INT((OreRichieste!H$17-Casse!H$19-Casse!H$25)*$B29/SUMIFS($B$6:$B$68,$A$6:$A$68,"&gt;="&amp;Parametri!H$63)/0.25)))</f>
        <v>5</v>
      </c>
      <c r="AD29" s="132" t="str">
        <f aca="false">IF(AA29&lt;AC29,"KO",IF(AND(AA29&gt;0,AB29=0),"NO RESP","OK"))</f>
        <v>OK</v>
      </c>
      <c r="AE29" s="133" t="s">
        <v>187</v>
      </c>
    </row>
    <row r="30" customFormat="false" ht="15" hidden="false" customHeight="true" outlineLevel="0" collapsed="false">
      <c r="A30" s="129" t="n">
        <v>0.479166666666667</v>
      </c>
      <c r="B30" s="130" t="n">
        <v>1.05</v>
      </c>
      <c r="C30" s="113" t="n">
        <f aca="false">SUMPRODUCT((Turni!$F$5:$F$27&lt;=$A30)*(Turni!$G$5:$G$27&gt;$A30))</f>
        <v>5</v>
      </c>
      <c r="D30" s="113" t="n">
        <f aca="false">SUMPRODUCT((Turni!$F$5:$F$27&lt;=$A30)*(Turni!$G$5:$G$27&gt;$A30)*(Turni!$B$5:$B$27="RESP"))</f>
        <v>1</v>
      </c>
      <c r="E30" s="131" t="n">
        <f aca="false">IF($A30&lt;Parametri!B$63,0,MAX(Parametri!$B$66,IF(AND($A30&gt;=8/24,$A30&lt;21/24),INDEX(Casse!B$6:B$18,INT($A30*24)-7)+Parametri!$B$17,0)+INT((OreRichieste!B$17-Casse!B$19-Casse!B$25)*$B30/SUMIFS($B$6:$B$68,$A$6:$A$68,"&gt;="&amp;Parametri!B$63)/0.25)))</f>
        <v>6</v>
      </c>
      <c r="F30" s="132" t="str">
        <f aca="false">IF(C30&lt;E30,"KO",IF(AND(C30&gt;0,D30=0),"NO RESP","OK"))</f>
        <v>KO</v>
      </c>
      <c r="G30" s="113" t="n">
        <f aca="false">SUMPRODUCT((Turni!$I$5:$I$27&lt;=$A30)*(Turni!$J$5:$J$27&gt;$A30))</f>
        <v>5</v>
      </c>
      <c r="H30" s="113" t="n">
        <f aca="false">SUMPRODUCT((Turni!$I$5:$I$27&lt;=$A30)*(Turni!$J$5:$J$27&gt;$A30)*(Turni!$B$5:$B$27="RESP"))</f>
        <v>1</v>
      </c>
      <c r="I30" s="131" t="n">
        <f aca="false">IF($A30&lt;Parametri!C$63,0,MAX(Parametri!$B$66,IF(AND($A30&gt;=8/24,$A30&lt;21/24),INDEX(Casse!C$6:C$18,INT($A30*24)-7)+Parametri!$B$17,0)+INT((OreRichieste!C$17-Casse!C$19-Casse!C$25)*$B30/SUMIFS($B$6:$B$68,$A$6:$A$68,"&gt;="&amp;Parametri!C$63)/0.25)))</f>
        <v>5</v>
      </c>
      <c r="J30" s="132" t="str">
        <f aca="false">IF(G30&lt;I30,"KO",IF(AND(G30&gt;0,H30=0),"NO RESP","OK"))</f>
        <v>OK</v>
      </c>
      <c r="K30" s="113" t="n">
        <f aca="false">SUMPRODUCT((Turni!$L$5:$L$27&lt;=$A30)*(Turni!$M$5:$M$27&gt;$A30))</f>
        <v>6</v>
      </c>
      <c r="L30" s="113" t="n">
        <f aca="false">SUMPRODUCT((Turni!$L$5:$L$27&lt;=$A30)*(Turni!$M$5:$M$27&gt;$A30)*(Turni!$B$5:$B$27="RESP"))</f>
        <v>1</v>
      </c>
      <c r="M30" s="131" t="n">
        <f aca="false">IF($A30&lt;Parametri!D$63,0,MAX(Parametri!$B$66,IF(AND($A30&gt;=8/24,$A30&lt;21/24),INDEX(Casse!D$6:D$18,INT($A30*24)-7)+Parametri!$B$17,0)+INT((OreRichieste!D$17-Casse!D$19-Casse!D$25)*$B30/SUMIFS($B$6:$B$68,$A$6:$A$68,"&gt;="&amp;Parametri!D$63)/0.25)))</f>
        <v>5</v>
      </c>
      <c r="N30" s="132" t="str">
        <f aca="false">IF(K30&lt;M30,"KO",IF(AND(K30&gt;0,L30=0),"NO RESP","OK"))</f>
        <v>OK</v>
      </c>
      <c r="O30" s="113" t="n">
        <f aca="false">SUMPRODUCT((Turni!$O$5:$O$27&lt;=$A30)*(Turni!$P$5:$P$27&gt;$A30))</f>
        <v>6</v>
      </c>
      <c r="P30" s="113" t="n">
        <f aca="false">SUMPRODUCT((Turni!$O$5:$O$27&lt;=$A30)*(Turni!$P$5:$P$27&gt;$A30)*(Turni!$B$5:$B$27="RESP"))</f>
        <v>2</v>
      </c>
      <c r="Q30" s="131" t="n">
        <f aca="false">IF($A30&lt;Parametri!E$63,0,MAX(Parametri!$B$66,IF(AND($A30&gt;=8/24,$A30&lt;21/24),INDEX(Casse!E$6:E$18,INT($A30*24)-7)+Parametri!$B$17,0)+INT((OreRichieste!E$17-Casse!E$19-Casse!E$25)*$B30/SUMIFS($B$6:$B$68,$A$6:$A$68,"&gt;="&amp;Parametri!E$63)/0.25)))</f>
        <v>6</v>
      </c>
      <c r="R30" s="132" t="str">
        <f aca="false">IF(O30&lt;Q30,"KO",IF(AND(O30&gt;0,P30=0),"NO RESP","OK"))</f>
        <v>OK</v>
      </c>
      <c r="S30" s="113" t="n">
        <f aca="false">SUMPRODUCT((Turni!$R$5:$R$27&lt;=$A30)*(Turni!$S$5:$S$27&gt;$A30))</f>
        <v>6</v>
      </c>
      <c r="T30" s="113" t="n">
        <f aca="false">SUMPRODUCT((Turni!$R$5:$R$27&lt;=$A30)*(Turni!$S$5:$S$27&gt;$A30)*(Turni!$B$5:$B$27="RESP"))</f>
        <v>2</v>
      </c>
      <c r="U30" s="131" t="n">
        <f aca="false">IF($A30&lt;Parametri!F$63,0,MAX(Parametri!$B$66,IF(AND($A30&gt;=8/24,$A30&lt;21/24),INDEX(Casse!F$6:F$18,INT($A30*24)-7)+Parametri!$B$17,0)+INT((OreRichieste!F$17-Casse!F$19-Casse!F$25)*$B30/SUMIFS($B$6:$B$68,$A$6:$A$68,"&gt;="&amp;Parametri!F$63)/0.25)))</f>
        <v>6</v>
      </c>
      <c r="V30" s="132" t="str">
        <f aca="false">IF(S30&lt;U30,"KO",IF(AND(S30&gt;0,T30=0),"NO RESP","OK"))</f>
        <v>OK</v>
      </c>
      <c r="W30" s="113" t="n">
        <f aca="false">SUMPRODUCT((Turni!$U$5:$U$27&lt;=$A30)*(Turni!$V$5:$V$27&gt;$A30))</f>
        <v>6</v>
      </c>
      <c r="X30" s="113" t="n">
        <f aca="false">SUMPRODUCT((Turni!$U$5:$U$27&lt;=$A30)*(Turni!$V$5:$V$27&gt;$A30)*(Turni!$B$5:$B$27="RESP"))</f>
        <v>1</v>
      </c>
      <c r="Y30" s="131" t="n">
        <f aca="false">IF($A30&lt;Parametri!G$63,0,MAX(Parametri!$B$66,IF(AND($A30&gt;=8/24,$A30&lt;21/24),INDEX(Casse!G$6:G$18,INT($A30*24)-7)+Parametri!$B$17,0)+INT((OreRichieste!G$17-Casse!G$19-Casse!G$25)*$B30/SUMIFS($B$6:$B$68,$A$6:$A$68,"&gt;="&amp;Parametri!G$63)/0.25)))</f>
        <v>6</v>
      </c>
      <c r="Z30" s="132" t="str">
        <f aca="false">IF(W30&lt;Y30,"KO",IF(AND(W30&gt;0,X30=0),"NO RESP","OK"))</f>
        <v>OK</v>
      </c>
      <c r="AA30" s="113" t="n">
        <f aca="false">SUMPRODUCT((Turni!$X$5:$X$27&lt;=$A30)*(Turni!$Y$5:$Y$27&gt;$A30))</f>
        <v>5</v>
      </c>
      <c r="AB30" s="113" t="n">
        <f aca="false">SUMPRODUCT((Turni!$X$5:$X$27&lt;=$A30)*(Turni!$Y$5:$Y$27&gt;$A30)*(Turni!$B$5:$B$27="RESP"))</f>
        <v>2</v>
      </c>
      <c r="AC30" s="131" t="n">
        <f aca="false">IF($A30&lt;Parametri!H$63,0,MAX(Parametri!$B$66,IF(AND($A30&gt;=8/24,$A30&lt;21/24),INDEX(Casse!H$6:H$18,INT($A30*24)-7)+Parametri!$B$17,0)+INT((OreRichieste!H$17-Casse!H$19-Casse!H$25)*$B30/SUMIFS($B$6:$B$68,$A$6:$A$68,"&gt;="&amp;Parametri!H$63)/0.25)))</f>
        <v>5</v>
      </c>
      <c r="AD30" s="132" t="str">
        <f aca="false">IF(AA30&lt;AC30,"KO",IF(AND(AA30&gt;0,AB30=0),"NO RESP","OK"))</f>
        <v>OK</v>
      </c>
      <c r="AE30" s="133" t="s">
        <v>188</v>
      </c>
    </row>
    <row r="31" customFormat="false" ht="15" hidden="false" customHeight="true" outlineLevel="0" collapsed="false">
      <c r="A31" s="129" t="n">
        <v>0.489583333333333</v>
      </c>
      <c r="B31" s="130" t="n">
        <v>1.05</v>
      </c>
      <c r="C31" s="113" t="n">
        <f aca="false">SUMPRODUCT((Turni!$F$5:$F$27&lt;=$A31)*(Turni!$G$5:$G$27&gt;$A31))</f>
        <v>5</v>
      </c>
      <c r="D31" s="113" t="n">
        <f aca="false">SUMPRODUCT((Turni!$F$5:$F$27&lt;=$A31)*(Turni!$G$5:$G$27&gt;$A31)*(Turni!$B$5:$B$27="RESP"))</f>
        <v>1</v>
      </c>
      <c r="E31" s="131" t="n">
        <f aca="false">IF($A31&lt;Parametri!B$63,0,MAX(Parametri!$B$66,IF(AND($A31&gt;=8/24,$A31&lt;21/24),INDEX(Casse!B$6:B$18,INT($A31*24)-7)+Parametri!$B$17,0)+INT((OreRichieste!B$17-Casse!B$19-Casse!B$25)*$B31/SUMIFS($B$6:$B$68,$A$6:$A$68,"&gt;="&amp;Parametri!B$63)/0.25)))</f>
        <v>6</v>
      </c>
      <c r="F31" s="132" t="str">
        <f aca="false">IF(C31&lt;E31,"KO",IF(AND(C31&gt;0,D31=0),"NO RESP","OK"))</f>
        <v>KO</v>
      </c>
      <c r="G31" s="113" t="n">
        <f aca="false">SUMPRODUCT((Turni!$I$5:$I$27&lt;=$A31)*(Turni!$J$5:$J$27&gt;$A31))</f>
        <v>5</v>
      </c>
      <c r="H31" s="113" t="n">
        <f aca="false">SUMPRODUCT((Turni!$I$5:$I$27&lt;=$A31)*(Turni!$J$5:$J$27&gt;$A31)*(Turni!$B$5:$B$27="RESP"))</f>
        <v>1</v>
      </c>
      <c r="I31" s="131" t="n">
        <f aca="false">IF($A31&lt;Parametri!C$63,0,MAX(Parametri!$B$66,IF(AND($A31&gt;=8/24,$A31&lt;21/24),INDEX(Casse!C$6:C$18,INT($A31*24)-7)+Parametri!$B$17,0)+INT((OreRichieste!C$17-Casse!C$19-Casse!C$25)*$B31/SUMIFS($B$6:$B$68,$A$6:$A$68,"&gt;="&amp;Parametri!C$63)/0.25)))</f>
        <v>5</v>
      </c>
      <c r="J31" s="132" t="str">
        <f aca="false">IF(G31&lt;I31,"KO",IF(AND(G31&gt;0,H31=0),"NO RESP","OK"))</f>
        <v>OK</v>
      </c>
      <c r="K31" s="113" t="n">
        <f aca="false">SUMPRODUCT((Turni!$L$5:$L$27&lt;=$A31)*(Turni!$M$5:$M$27&gt;$A31))</f>
        <v>6</v>
      </c>
      <c r="L31" s="113" t="n">
        <f aca="false">SUMPRODUCT((Turni!$L$5:$L$27&lt;=$A31)*(Turni!$M$5:$M$27&gt;$A31)*(Turni!$B$5:$B$27="RESP"))</f>
        <v>1</v>
      </c>
      <c r="M31" s="131" t="n">
        <f aca="false">IF($A31&lt;Parametri!D$63,0,MAX(Parametri!$B$66,IF(AND($A31&gt;=8/24,$A31&lt;21/24),INDEX(Casse!D$6:D$18,INT($A31*24)-7)+Parametri!$B$17,0)+INT((OreRichieste!D$17-Casse!D$19-Casse!D$25)*$B31/SUMIFS($B$6:$B$68,$A$6:$A$68,"&gt;="&amp;Parametri!D$63)/0.25)))</f>
        <v>5</v>
      </c>
      <c r="N31" s="132" t="str">
        <f aca="false">IF(K31&lt;M31,"KO",IF(AND(K31&gt;0,L31=0),"NO RESP","OK"))</f>
        <v>OK</v>
      </c>
      <c r="O31" s="113" t="n">
        <f aca="false">SUMPRODUCT((Turni!$O$5:$O$27&lt;=$A31)*(Turni!$P$5:$P$27&gt;$A31))</f>
        <v>6</v>
      </c>
      <c r="P31" s="113" t="n">
        <f aca="false">SUMPRODUCT((Turni!$O$5:$O$27&lt;=$A31)*(Turni!$P$5:$P$27&gt;$A31)*(Turni!$B$5:$B$27="RESP"))</f>
        <v>2</v>
      </c>
      <c r="Q31" s="131" t="n">
        <f aca="false">IF($A31&lt;Parametri!E$63,0,MAX(Parametri!$B$66,IF(AND($A31&gt;=8/24,$A31&lt;21/24),INDEX(Casse!E$6:E$18,INT($A31*24)-7)+Parametri!$B$17,0)+INT((OreRichieste!E$17-Casse!E$19-Casse!E$25)*$B31/SUMIFS($B$6:$B$68,$A$6:$A$68,"&gt;="&amp;Parametri!E$63)/0.25)))</f>
        <v>6</v>
      </c>
      <c r="R31" s="132" t="str">
        <f aca="false">IF(O31&lt;Q31,"KO",IF(AND(O31&gt;0,P31=0),"NO RESP","OK"))</f>
        <v>OK</v>
      </c>
      <c r="S31" s="113" t="n">
        <f aca="false">SUMPRODUCT((Turni!$R$5:$R$27&lt;=$A31)*(Turni!$S$5:$S$27&gt;$A31))</f>
        <v>6</v>
      </c>
      <c r="T31" s="113" t="n">
        <f aca="false">SUMPRODUCT((Turni!$R$5:$R$27&lt;=$A31)*(Turni!$S$5:$S$27&gt;$A31)*(Turni!$B$5:$B$27="RESP"))</f>
        <v>2</v>
      </c>
      <c r="U31" s="131" t="n">
        <f aca="false">IF($A31&lt;Parametri!F$63,0,MAX(Parametri!$B$66,IF(AND($A31&gt;=8/24,$A31&lt;21/24),INDEX(Casse!F$6:F$18,INT($A31*24)-7)+Parametri!$B$17,0)+INT((OreRichieste!F$17-Casse!F$19-Casse!F$25)*$B31/SUMIFS($B$6:$B$68,$A$6:$A$68,"&gt;="&amp;Parametri!F$63)/0.25)))</f>
        <v>6</v>
      </c>
      <c r="V31" s="132" t="str">
        <f aca="false">IF(S31&lt;U31,"KO",IF(AND(S31&gt;0,T31=0),"NO RESP","OK"))</f>
        <v>OK</v>
      </c>
      <c r="W31" s="113" t="n">
        <f aca="false">SUMPRODUCT((Turni!$U$5:$U$27&lt;=$A31)*(Turni!$V$5:$V$27&gt;$A31))</f>
        <v>6</v>
      </c>
      <c r="X31" s="113" t="n">
        <f aca="false">SUMPRODUCT((Turni!$U$5:$U$27&lt;=$A31)*(Turni!$V$5:$V$27&gt;$A31)*(Turni!$B$5:$B$27="RESP"))</f>
        <v>1</v>
      </c>
      <c r="Y31" s="131" t="n">
        <f aca="false">IF($A31&lt;Parametri!G$63,0,MAX(Parametri!$B$66,IF(AND($A31&gt;=8/24,$A31&lt;21/24),INDEX(Casse!G$6:G$18,INT($A31*24)-7)+Parametri!$B$17,0)+INT((OreRichieste!G$17-Casse!G$19-Casse!G$25)*$B31/SUMIFS($B$6:$B$68,$A$6:$A$68,"&gt;="&amp;Parametri!G$63)/0.25)))</f>
        <v>6</v>
      </c>
      <c r="Z31" s="132" t="str">
        <f aca="false">IF(W31&lt;Y31,"KO",IF(AND(W31&gt;0,X31=0),"NO RESP","OK"))</f>
        <v>OK</v>
      </c>
      <c r="AA31" s="113" t="n">
        <f aca="false">SUMPRODUCT((Turni!$X$5:$X$27&lt;=$A31)*(Turni!$Y$5:$Y$27&gt;$A31))</f>
        <v>5</v>
      </c>
      <c r="AB31" s="113" t="n">
        <f aca="false">SUMPRODUCT((Turni!$X$5:$X$27&lt;=$A31)*(Turni!$Y$5:$Y$27&gt;$A31)*(Turni!$B$5:$B$27="RESP"))</f>
        <v>2</v>
      </c>
      <c r="AC31" s="131" t="n">
        <f aca="false">IF($A31&lt;Parametri!H$63,0,MAX(Parametri!$B$66,IF(AND($A31&gt;=8/24,$A31&lt;21/24),INDEX(Casse!H$6:H$18,INT($A31*24)-7)+Parametri!$B$17,0)+INT((OreRichieste!H$17-Casse!H$19-Casse!H$25)*$B31/SUMIFS($B$6:$B$68,$A$6:$A$68,"&gt;="&amp;Parametri!H$63)/0.25)))</f>
        <v>5</v>
      </c>
      <c r="AD31" s="132" t="str">
        <f aca="false">IF(AA31&lt;AC31,"KO",IF(AND(AA31&gt;0,AB31=0),"NO RESP","OK"))</f>
        <v>OK</v>
      </c>
      <c r="AE31" s="133" t="s">
        <v>189</v>
      </c>
    </row>
    <row r="32" customFormat="false" ht="15" hidden="false" customHeight="true" outlineLevel="0" collapsed="false">
      <c r="A32" s="129" t="n">
        <v>0.5</v>
      </c>
      <c r="B32" s="130" t="n">
        <v>0.95</v>
      </c>
      <c r="C32" s="113" t="n">
        <f aca="false">SUMPRODUCT((Turni!$F$5:$F$27&lt;=$A32)*(Turni!$G$5:$G$27&gt;$A32))</f>
        <v>5</v>
      </c>
      <c r="D32" s="113" t="n">
        <f aca="false">SUMPRODUCT((Turni!$F$5:$F$27&lt;=$A32)*(Turni!$G$5:$G$27&gt;$A32)*(Turni!$B$5:$B$27="RESP"))</f>
        <v>1</v>
      </c>
      <c r="E32" s="131" t="n">
        <f aca="false">IF($A32&lt;Parametri!B$63,0,MAX(Parametri!$B$66,IF(AND($A32&gt;=8/24,$A32&lt;21/24),INDEX(Casse!B$6:B$18,INT($A32*24)-7)+Parametri!$B$17,0)+INT((OreRichieste!B$17-Casse!B$19-Casse!B$25)*$B32/SUMIFS($B$6:$B$68,$A$6:$A$68,"&gt;="&amp;Parametri!B$63)/0.25)))</f>
        <v>5</v>
      </c>
      <c r="F32" s="132" t="str">
        <f aca="false">IF(C32&lt;E32,"KO",IF(AND(C32&gt;0,D32=0),"NO RESP","OK"))</f>
        <v>OK</v>
      </c>
      <c r="G32" s="113" t="n">
        <f aca="false">SUMPRODUCT((Turni!$I$5:$I$27&lt;=$A32)*(Turni!$J$5:$J$27&gt;$A32))</f>
        <v>4</v>
      </c>
      <c r="H32" s="113" t="n">
        <f aca="false">SUMPRODUCT((Turni!$I$5:$I$27&lt;=$A32)*(Turni!$J$5:$J$27&gt;$A32)*(Turni!$B$5:$B$27="RESP"))</f>
        <v>1</v>
      </c>
      <c r="I32" s="131" t="n">
        <f aca="false">IF($A32&lt;Parametri!C$63,0,MAX(Parametri!$B$66,IF(AND($A32&gt;=8/24,$A32&lt;21/24),INDEX(Casse!C$6:C$18,INT($A32*24)-7)+Parametri!$B$17,0)+INT((OreRichieste!C$17-Casse!C$19-Casse!C$25)*$B32/SUMIFS($B$6:$B$68,$A$6:$A$68,"&gt;="&amp;Parametri!C$63)/0.25)))</f>
        <v>4</v>
      </c>
      <c r="J32" s="132" t="str">
        <f aca="false">IF(G32&lt;I32,"KO",IF(AND(G32&gt;0,H32=0),"NO RESP","OK"))</f>
        <v>OK</v>
      </c>
      <c r="K32" s="113" t="n">
        <f aca="false">SUMPRODUCT((Turni!$L$5:$L$27&lt;=$A32)*(Turni!$M$5:$M$27&gt;$A32))</f>
        <v>5</v>
      </c>
      <c r="L32" s="113" t="n">
        <f aca="false">SUMPRODUCT((Turni!$L$5:$L$27&lt;=$A32)*(Turni!$M$5:$M$27&gt;$A32)*(Turni!$B$5:$B$27="RESP"))</f>
        <v>1</v>
      </c>
      <c r="M32" s="131" t="n">
        <f aca="false">IF($A32&lt;Parametri!D$63,0,MAX(Parametri!$B$66,IF(AND($A32&gt;=8/24,$A32&lt;21/24),INDEX(Casse!D$6:D$18,INT($A32*24)-7)+Parametri!$B$17,0)+INT((OreRichieste!D$17-Casse!D$19-Casse!D$25)*$B32/SUMIFS($B$6:$B$68,$A$6:$A$68,"&gt;="&amp;Parametri!D$63)/0.25)))</f>
        <v>4</v>
      </c>
      <c r="N32" s="132" t="str">
        <f aca="false">IF(K32&lt;M32,"KO",IF(AND(K32&gt;0,L32=0),"NO RESP","OK"))</f>
        <v>OK</v>
      </c>
      <c r="O32" s="113" t="n">
        <f aca="false">SUMPRODUCT((Turni!$O$5:$O$27&lt;=$A32)*(Turni!$P$5:$P$27&gt;$A32))</f>
        <v>5</v>
      </c>
      <c r="P32" s="113" t="n">
        <f aca="false">SUMPRODUCT((Turni!$O$5:$O$27&lt;=$A32)*(Turni!$P$5:$P$27&gt;$A32)*(Turni!$B$5:$B$27="RESP"))</f>
        <v>1</v>
      </c>
      <c r="Q32" s="131" t="n">
        <f aca="false">IF($A32&lt;Parametri!E$63,0,MAX(Parametri!$B$66,IF(AND($A32&gt;=8/24,$A32&lt;21/24),INDEX(Casse!E$6:E$18,INT($A32*24)-7)+Parametri!$B$17,0)+INT((OreRichieste!E$17-Casse!E$19-Casse!E$25)*$B32/SUMIFS($B$6:$B$68,$A$6:$A$68,"&gt;="&amp;Parametri!E$63)/0.25)))</f>
        <v>5</v>
      </c>
      <c r="R32" s="132" t="str">
        <f aca="false">IF(O32&lt;Q32,"KO",IF(AND(O32&gt;0,P32=0),"NO RESP","OK"))</f>
        <v>OK</v>
      </c>
      <c r="S32" s="113" t="n">
        <f aca="false">SUMPRODUCT((Turni!$R$5:$R$27&lt;=$A32)*(Turni!$S$5:$S$27&gt;$A32))</f>
        <v>6</v>
      </c>
      <c r="T32" s="113" t="n">
        <f aca="false">SUMPRODUCT((Turni!$R$5:$R$27&lt;=$A32)*(Turni!$S$5:$S$27&gt;$A32)*(Turni!$B$5:$B$27="RESP"))</f>
        <v>2</v>
      </c>
      <c r="U32" s="131" t="n">
        <f aca="false">IF($A32&lt;Parametri!F$63,0,MAX(Parametri!$B$66,IF(AND($A32&gt;=8/24,$A32&lt;21/24),INDEX(Casse!F$6:F$18,INT($A32*24)-7)+Parametri!$B$17,0)+INT((OreRichieste!F$17-Casse!F$19-Casse!F$25)*$B32/SUMIFS($B$6:$B$68,$A$6:$A$68,"&gt;="&amp;Parametri!F$63)/0.25)))</f>
        <v>5</v>
      </c>
      <c r="V32" s="132" t="str">
        <f aca="false">IF(S32&lt;U32,"KO",IF(AND(S32&gt;0,T32=0),"NO RESP","OK"))</f>
        <v>OK</v>
      </c>
      <c r="W32" s="113" t="n">
        <f aca="false">SUMPRODUCT((Turni!$U$5:$U$27&lt;=$A32)*(Turni!$V$5:$V$27&gt;$A32))</f>
        <v>6</v>
      </c>
      <c r="X32" s="113" t="n">
        <f aca="false">SUMPRODUCT((Turni!$U$5:$U$27&lt;=$A32)*(Turni!$V$5:$V$27&gt;$A32)*(Turni!$B$5:$B$27="RESP"))</f>
        <v>2</v>
      </c>
      <c r="Y32" s="131" t="n">
        <f aca="false">IF($A32&lt;Parametri!G$63,0,MAX(Parametri!$B$66,IF(AND($A32&gt;=8/24,$A32&lt;21/24),INDEX(Casse!G$6:G$18,INT($A32*24)-7)+Parametri!$B$17,0)+INT((OreRichieste!G$17-Casse!G$19-Casse!G$25)*$B32/SUMIFS($B$6:$B$68,$A$6:$A$68,"&gt;="&amp;Parametri!G$63)/0.25)))</f>
        <v>6</v>
      </c>
      <c r="Z32" s="132" t="str">
        <f aca="false">IF(W32&lt;Y32,"KO",IF(AND(W32&gt;0,X32=0),"NO RESP","OK"))</f>
        <v>OK</v>
      </c>
      <c r="AA32" s="113" t="n">
        <f aca="false">SUMPRODUCT((Turni!$X$5:$X$27&lt;=$A32)*(Turni!$Y$5:$Y$27&gt;$A32))</f>
        <v>4</v>
      </c>
      <c r="AB32" s="113" t="n">
        <f aca="false">SUMPRODUCT((Turni!$X$5:$X$27&lt;=$A32)*(Turni!$Y$5:$Y$27&gt;$A32)*(Turni!$B$5:$B$27="RESP"))</f>
        <v>1</v>
      </c>
      <c r="AC32" s="131" t="n">
        <f aca="false">IF($A32&lt;Parametri!H$63,0,MAX(Parametri!$B$66,IF(AND($A32&gt;=8/24,$A32&lt;21/24),INDEX(Casse!H$6:H$18,INT($A32*24)-7)+Parametri!$B$17,0)+INT((OreRichieste!H$17-Casse!H$19-Casse!H$25)*$B32/SUMIFS($B$6:$B$68,$A$6:$A$68,"&gt;="&amp;Parametri!H$63)/0.25)))</f>
        <v>4</v>
      </c>
      <c r="AD32" s="132" t="str">
        <f aca="false">IF(AA32&lt;AC32,"KO",IF(AND(AA32&gt;0,AB32=0),"NO RESP","OK"))</f>
        <v>OK</v>
      </c>
      <c r="AE32" s="133" t="s">
        <v>190</v>
      </c>
    </row>
    <row r="33" customFormat="false" ht="15" hidden="false" customHeight="true" outlineLevel="0" collapsed="false">
      <c r="A33" s="129" t="n">
        <v>0.510416666666667</v>
      </c>
      <c r="B33" s="130" t="n">
        <v>0.95</v>
      </c>
      <c r="C33" s="113" t="n">
        <f aca="false">SUMPRODUCT((Turni!$F$5:$F$27&lt;=$A33)*(Turni!$G$5:$G$27&gt;$A33))</f>
        <v>5</v>
      </c>
      <c r="D33" s="113" t="n">
        <f aca="false">SUMPRODUCT((Turni!$F$5:$F$27&lt;=$A33)*(Turni!$G$5:$G$27&gt;$A33)*(Turni!$B$5:$B$27="RESP"))</f>
        <v>1</v>
      </c>
      <c r="E33" s="131" t="n">
        <f aca="false">IF($A33&lt;Parametri!B$63,0,MAX(Parametri!$B$66,IF(AND($A33&gt;=8/24,$A33&lt;21/24),INDEX(Casse!B$6:B$18,INT($A33*24)-7)+Parametri!$B$17,0)+INT((OreRichieste!B$17-Casse!B$19-Casse!B$25)*$B33/SUMIFS($B$6:$B$68,$A$6:$A$68,"&gt;="&amp;Parametri!B$63)/0.25)))</f>
        <v>5</v>
      </c>
      <c r="F33" s="132" t="str">
        <f aca="false">IF(C33&lt;E33,"KO",IF(AND(C33&gt;0,D33=0),"NO RESP","OK"))</f>
        <v>OK</v>
      </c>
      <c r="G33" s="113" t="n">
        <f aca="false">SUMPRODUCT((Turni!$I$5:$I$27&lt;=$A33)*(Turni!$J$5:$J$27&gt;$A33))</f>
        <v>4</v>
      </c>
      <c r="H33" s="113" t="n">
        <f aca="false">SUMPRODUCT((Turni!$I$5:$I$27&lt;=$A33)*(Turni!$J$5:$J$27&gt;$A33)*(Turni!$B$5:$B$27="RESP"))</f>
        <v>1</v>
      </c>
      <c r="I33" s="131" t="n">
        <f aca="false">IF($A33&lt;Parametri!C$63,0,MAX(Parametri!$B$66,IF(AND($A33&gt;=8/24,$A33&lt;21/24),INDEX(Casse!C$6:C$18,INT($A33*24)-7)+Parametri!$B$17,0)+INT((OreRichieste!C$17-Casse!C$19-Casse!C$25)*$B33/SUMIFS($B$6:$B$68,$A$6:$A$68,"&gt;="&amp;Parametri!C$63)/0.25)))</f>
        <v>4</v>
      </c>
      <c r="J33" s="132" t="str">
        <f aca="false">IF(G33&lt;I33,"KO",IF(AND(G33&gt;0,H33=0),"NO RESP","OK"))</f>
        <v>OK</v>
      </c>
      <c r="K33" s="113" t="n">
        <f aca="false">SUMPRODUCT((Turni!$L$5:$L$27&lt;=$A33)*(Turni!$M$5:$M$27&gt;$A33))</f>
        <v>5</v>
      </c>
      <c r="L33" s="113" t="n">
        <f aca="false">SUMPRODUCT((Turni!$L$5:$L$27&lt;=$A33)*(Turni!$M$5:$M$27&gt;$A33)*(Turni!$B$5:$B$27="RESP"))</f>
        <v>1</v>
      </c>
      <c r="M33" s="131" t="n">
        <f aca="false">IF($A33&lt;Parametri!D$63,0,MAX(Parametri!$B$66,IF(AND($A33&gt;=8/24,$A33&lt;21/24),INDEX(Casse!D$6:D$18,INT($A33*24)-7)+Parametri!$B$17,0)+INT((OreRichieste!D$17-Casse!D$19-Casse!D$25)*$B33/SUMIFS($B$6:$B$68,$A$6:$A$68,"&gt;="&amp;Parametri!D$63)/0.25)))</f>
        <v>4</v>
      </c>
      <c r="N33" s="132" t="str">
        <f aca="false">IF(K33&lt;M33,"KO",IF(AND(K33&gt;0,L33=0),"NO RESP","OK"))</f>
        <v>OK</v>
      </c>
      <c r="O33" s="113" t="n">
        <f aca="false">SUMPRODUCT((Turni!$O$5:$O$27&lt;=$A33)*(Turni!$P$5:$P$27&gt;$A33))</f>
        <v>5</v>
      </c>
      <c r="P33" s="113" t="n">
        <f aca="false">SUMPRODUCT((Turni!$O$5:$O$27&lt;=$A33)*(Turni!$P$5:$P$27&gt;$A33)*(Turni!$B$5:$B$27="RESP"))</f>
        <v>1</v>
      </c>
      <c r="Q33" s="131" t="n">
        <f aca="false">IF($A33&lt;Parametri!E$63,0,MAX(Parametri!$B$66,IF(AND($A33&gt;=8/24,$A33&lt;21/24),INDEX(Casse!E$6:E$18,INT($A33*24)-7)+Parametri!$B$17,0)+INT((OreRichieste!E$17-Casse!E$19-Casse!E$25)*$B33/SUMIFS($B$6:$B$68,$A$6:$A$68,"&gt;="&amp;Parametri!E$63)/0.25)))</f>
        <v>5</v>
      </c>
      <c r="R33" s="132" t="str">
        <f aca="false">IF(O33&lt;Q33,"KO",IF(AND(O33&gt;0,P33=0),"NO RESP","OK"))</f>
        <v>OK</v>
      </c>
      <c r="S33" s="113" t="n">
        <f aca="false">SUMPRODUCT((Turni!$R$5:$R$27&lt;=$A33)*(Turni!$S$5:$S$27&gt;$A33))</f>
        <v>6</v>
      </c>
      <c r="T33" s="113" t="n">
        <f aca="false">SUMPRODUCT((Turni!$R$5:$R$27&lt;=$A33)*(Turni!$S$5:$S$27&gt;$A33)*(Turni!$B$5:$B$27="RESP"))</f>
        <v>2</v>
      </c>
      <c r="U33" s="131" t="n">
        <f aca="false">IF($A33&lt;Parametri!F$63,0,MAX(Parametri!$B$66,IF(AND($A33&gt;=8/24,$A33&lt;21/24),INDEX(Casse!F$6:F$18,INT($A33*24)-7)+Parametri!$B$17,0)+INT((OreRichieste!F$17-Casse!F$19-Casse!F$25)*$B33/SUMIFS($B$6:$B$68,$A$6:$A$68,"&gt;="&amp;Parametri!F$63)/0.25)))</f>
        <v>5</v>
      </c>
      <c r="V33" s="132" t="str">
        <f aca="false">IF(S33&lt;U33,"KO",IF(AND(S33&gt;0,T33=0),"NO RESP","OK"))</f>
        <v>OK</v>
      </c>
      <c r="W33" s="113" t="n">
        <f aca="false">SUMPRODUCT((Turni!$U$5:$U$27&lt;=$A33)*(Turni!$V$5:$V$27&gt;$A33))</f>
        <v>6</v>
      </c>
      <c r="X33" s="113" t="n">
        <f aca="false">SUMPRODUCT((Turni!$U$5:$U$27&lt;=$A33)*(Turni!$V$5:$V$27&gt;$A33)*(Turni!$B$5:$B$27="RESP"))</f>
        <v>2</v>
      </c>
      <c r="Y33" s="131" t="n">
        <f aca="false">IF($A33&lt;Parametri!G$63,0,MAX(Parametri!$B$66,IF(AND($A33&gt;=8/24,$A33&lt;21/24),INDEX(Casse!G$6:G$18,INT($A33*24)-7)+Parametri!$B$17,0)+INT((OreRichieste!G$17-Casse!G$19-Casse!G$25)*$B33/SUMIFS($B$6:$B$68,$A$6:$A$68,"&gt;="&amp;Parametri!G$63)/0.25)))</f>
        <v>6</v>
      </c>
      <c r="Z33" s="132" t="str">
        <f aca="false">IF(W33&lt;Y33,"KO",IF(AND(W33&gt;0,X33=0),"NO RESP","OK"))</f>
        <v>OK</v>
      </c>
      <c r="AA33" s="113" t="n">
        <f aca="false">SUMPRODUCT((Turni!$X$5:$X$27&lt;=$A33)*(Turni!$Y$5:$Y$27&gt;$A33))</f>
        <v>4</v>
      </c>
      <c r="AB33" s="113" t="n">
        <f aca="false">SUMPRODUCT((Turni!$X$5:$X$27&lt;=$A33)*(Turni!$Y$5:$Y$27&gt;$A33)*(Turni!$B$5:$B$27="RESP"))</f>
        <v>1</v>
      </c>
      <c r="AC33" s="131" t="n">
        <f aca="false">IF($A33&lt;Parametri!H$63,0,MAX(Parametri!$B$66,IF(AND($A33&gt;=8/24,$A33&lt;21/24),INDEX(Casse!H$6:H$18,INT($A33*24)-7)+Parametri!$B$17,0)+INT((OreRichieste!H$17-Casse!H$19-Casse!H$25)*$B33/SUMIFS($B$6:$B$68,$A$6:$A$68,"&gt;="&amp;Parametri!H$63)/0.25)))</f>
        <v>4</v>
      </c>
      <c r="AD33" s="132" t="str">
        <f aca="false">IF(AA33&lt;AC33,"KO",IF(AND(AA33&gt;0,AB33=0),"NO RESP","OK"))</f>
        <v>OK</v>
      </c>
      <c r="AE33" s="133" t="s">
        <v>191</v>
      </c>
    </row>
    <row r="34" customFormat="false" ht="15" hidden="false" customHeight="true" outlineLevel="0" collapsed="false">
      <c r="A34" s="129" t="n">
        <v>0.520833333333333</v>
      </c>
      <c r="B34" s="130" t="n">
        <v>0.95</v>
      </c>
      <c r="C34" s="113" t="n">
        <f aca="false">SUMPRODUCT((Turni!$F$5:$F$27&lt;=$A34)*(Turni!$G$5:$G$27&gt;$A34))</f>
        <v>5</v>
      </c>
      <c r="D34" s="113" t="n">
        <f aca="false">SUMPRODUCT((Turni!$F$5:$F$27&lt;=$A34)*(Turni!$G$5:$G$27&gt;$A34)*(Turni!$B$5:$B$27="RESP"))</f>
        <v>1</v>
      </c>
      <c r="E34" s="131" t="n">
        <f aca="false">IF($A34&lt;Parametri!B$63,0,MAX(Parametri!$B$66,IF(AND($A34&gt;=8/24,$A34&lt;21/24),INDEX(Casse!B$6:B$18,INT($A34*24)-7)+Parametri!$B$17,0)+INT((OreRichieste!B$17-Casse!B$19-Casse!B$25)*$B34/SUMIFS($B$6:$B$68,$A$6:$A$68,"&gt;="&amp;Parametri!B$63)/0.25)))</f>
        <v>5</v>
      </c>
      <c r="F34" s="132" t="str">
        <f aca="false">IF(C34&lt;E34,"KO",IF(AND(C34&gt;0,D34=0),"NO RESP","OK"))</f>
        <v>OK</v>
      </c>
      <c r="G34" s="113" t="n">
        <f aca="false">SUMPRODUCT((Turni!$I$5:$I$27&lt;=$A34)*(Turni!$J$5:$J$27&gt;$A34))</f>
        <v>4</v>
      </c>
      <c r="H34" s="113" t="n">
        <f aca="false">SUMPRODUCT((Turni!$I$5:$I$27&lt;=$A34)*(Turni!$J$5:$J$27&gt;$A34)*(Turni!$B$5:$B$27="RESP"))</f>
        <v>1</v>
      </c>
      <c r="I34" s="131" t="n">
        <f aca="false">IF($A34&lt;Parametri!C$63,0,MAX(Parametri!$B$66,IF(AND($A34&gt;=8/24,$A34&lt;21/24),INDEX(Casse!C$6:C$18,INT($A34*24)-7)+Parametri!$B$17,0)+INT((OreRichieste!C$17-Casse!C$19-Casse!C$25)*$B34/SUMIFS($B$6:$B$68,$A$6:$A$68,"&gt;="&amp;Parametri!C$63)/0.25)))</f>
        <v>4</v>
      </c>
      <c r="J34" s="132" t="str">
        <f aca="false">IF(G34&lt;I34,"KO",IF(AND(G34&gt;0,H34=0),"NO RESP","OK"))</f>
        <v>OK</v>
      </c>
      <c r="K34" s="113" t="n">
        <f aca="false">SUMPRODUCT((Turni!$L$5:$L$27&lt;=$A34)*(Turni!$M$5:$M$27&gt;$A34))</f>
        <v>4</v>
      </c>
      <c r="L34" s="113" t="n">
        <f aca="false">SUMPRODUCT((Turni!$L$5:$L$27&lt;=$A34)*(Turni!$M$5:$M$27&gt;$A34)*(Turni!$B$5:$B$27="RESP"))</f>
        <v>1</v>
      </c>
      <c r="M34" s="131" t="n">
        <f aca="false">IF($A34&lt;Parametri!D$63,0,MAX(Parametri!$B$66,IF(AND($A34&gt;=8/24,$A34&lt;21/24),INDEX(Casse!D$6:D$18,INT($A34*24)-7)+Parametri!$B$17,0)+INT((OreRichieste!D$17-Casse!D$19-Casse!D$25)*$B34/SUMIFS($B$6:$B$68,$A$6:$A$68,"&gt;="&amp;Parametri!D$63)/0.25)))</f>
        <v>4</v>
      </c>
      <c r="N34" s="132" t="str">
        <f aca="false">IF(K34&lt;M34,"KO",IF(AND(K34&gt;0,L34=0),"NO RESP","OK"))</f>
        <v>OK</v>
      </c>
      <c r="O34" s="113" t="n">
        <f aca="false">SUMPRODUCT((Turni!$O$5:$O$27&lt;=$A34)*(Turni!$P$5:$P$27&gt;$A34))</f>
        <v>5</v>
      </c>
      <c r="P34" s="113" t="n">
        <f aca="false">SUMPRODUCT((Turni!$O$5:$O$27&lt;=$A34)*(Turni!$P$5:$P$27&gt;$A34)*(Turni!$B$5:$B$27="RESP"))</f>
        <v>1</v>
      </c>
      <c r="Q34" s="131" t="n">
        <f aca="false">IF($A34&lt;Parametri!E$63,0,MAX(Parametri!$B$66,IF(AND($A34&gt;=8/24,$A34&lt;21/24),INDEX(Casse!E$6:E$18,INT($A34*24)-7)+Parametri!$B$17,0)+INT((OreRichieste!E$17-Casse!E$19-Casse!E$25)*$B34/SUMIFS($B$6:$B$68,$A$6:$A$68,"&gt;="&amp;Parametri!E$63)/0.25)))</f>
        <v>5</v>
      </c>
      <c r="R34" s="132" t="str">
        <f aca="false">IF(O34&lt;Q34,"KO",IF(AND(O34&gt;0,P34=0),"NO RESP","OK"))</f>
        <v>OK</v>
      </c>
      <c r="S34" s="113" t="n">
        <f aca="false">SUMPRODUCT((Turni!$R$5:$R$27&lt;=$A34)*(Turni!$S$5:$S$27&gt;$A34))</f>
        <v>5</v>
      </c>
      <c r="T34" s="113" t="n">
        <f aca="false">SUMPRODUCT((Turni!$R$5:$R$27&lt;=$A34)*(Turni!$S$5:$S$27&gt;$A34)*(Turni!$B$5:$B$27="RESP"))</f>
        <v>2</v>
      </c>
      <c r="U34" s="131" t="n">
        <f aca="false">IF($A34&lt;Parametri!F$63,0,MAX(Parametri!$B$66,IF(AND($A34&gt;=8/24,$A34&lt;21/24),INDEX(Casse!F$6:F$18,INT($A34*24)-7)+Parametri!$B$17,0)+INT((OreRichieste!F$17-Casse!F$19-Casse!F$25)*$B34/SUMIFS($B$6:$B$68,$A$6:$A$68,"&gt;="&amp;Parametri!F$63)/0.25)))</f>
        <v>5</v>
      </c>
      <c r="V34" s="132" t="str">
        <f aca="false">IF(S34&lt;U34,"KO",IF(AND(S34&gt;0,T34=0),"NO RESP","OK"))</f>
        <v>OK</v>
      </c>
      <c r="W34" s="113" t="n">
        <f aca="false">SUMPRODUCT((Turni!$U$5:$U$27&lt;=$A34)*(Turni!$V$5:$V$27&gt;$A34))</f>
        <v>6</v>
      </c>
      <c r="X34" s="113" t="n">
        <f aca="false">SUMPRODUCT((Turni!$U$5:$U$27&lt;=$A34)*(Turni!$V$5:$V$27&gt;$A34)*(Turni!$B$5:$B$27="RESP"))</f>
        <v>2</v>
      </c>
      <c r="Y34" s="131" t="n">
        <f aca="false">IF($A34&lt;Parametri!G$63,0,MAX(Parametri!$B$66,IF(AND($A34&gt;=8/24,$A34&lt;21/24),INDEX(Casse!G$6:G$18,INT($A34*24)-7)+Parametri!$B$17,0)+INT((OreRichieste!G$17-Casse!G$19-Casse!G$25)*$B34/SUMIFS($B$6:$B$68,$A$6:$A$68,"&gt;="&amp;Parametri!G$63)/0.25)))</f>
        <v>6</v>
      </c>
      <c r="Z34" s="132" t="str">
        <f aca="false">IF(W34&lt;Y34,"KO",IF(AND(W34&gt;0,X34=0),"NO RESP","OK"))</f>
        <v>OK</v>
      </c>
      <c r="AA34" s="113" t="n">
        <f aca="false">SUMPRODUCT((Turni!$X$5:$X$27&lt;=$A34)*(Turni!$Y$5:$Y$27&gt;$A34))</f>
        <v>4</v>
      </c>
      <c r="AB34" s="113" t="n">
        <f aca="false">SUMPRODUCT((Turni!$X$5:$X$27&lt;=$A34)*(Turni!$Y$5:$Y$27&gt;$A34)*(Turni!$B$5:$B$27="RESP"))</f>
        <v>1</v>
      </c>
      <c r="AC34" s="131" t="n">
        <f aca="false">IF($A34&lt;Parametri!H$63,0,MAX(Parametri!$B$66,IF(AND($A34&gt;=8/24,$A34&lt;21/24),INDEX(Casse!H$6:H$18,INT($A34*24)-7)+Parametri!$B$17,0)+INT((OreRichieste!H$17-Casse!H$19-Casse!H$25)*$B34/SUMIFS($B$6:$B$68,$A$6:$A$68,"&gt;="&amp;Parametri!H$63)/0.25)))</f>
        <v>4</v>
      </c>
      <c r="AD34" s="132" t="str">
        <f aca="false">IF(AA34&lt;AC34,"KO",IF(AND(AA34&gt;0,AB34=0),"NO RESP","OK"))</f>
        <v>OK</v>
      </c>
      <c r="AE34" s="133" t="s">
        <v>192</v>
      </c>
    </row>
    <row r="35" customFormat="false" ht="15" hidden="false" customHeight="true" outlineLevel="0" collapsed="false">
      <c r="A35" s="129" t="n">
        <v>0.53125</v>
      </c>
      <c r="B35" s="130" t="n">
        <v>0.95</v>
      </c>
      <c r="C35" s="113" t="n">
        <f aca="false">SUMPRODUCT((Turni!$F$5:$F$27&lt;=$A35)*(Turni!$G$5:$G$27&gt;$A35))</f>
        <v>5</v>
      </c>
      <c r="D35" s="113" t="n">
        <f aca="false">SUMPRODUCT((Turni!$F$5:$F$27&lt;=$A35)*(Turni!$G$5:$G$27&gt;$A35)*(Turni!$B$5:$B$27="RESP"))</f>
        <v>1</v>
      </c>
      <c r="E35" s="131" t="n">
        <f aca="false">IF($A35&lt;Parametri!B$63,0,MAX(Parametri!$B$66,IF(AND($A35&gt;=8/24,$A35&lt;21/24),INDEX(Casse!B$6:B$18,INT($A35*24)-7)+Parametri!$B$17,0)+INT((OreRichieste!B$17-Casse!B$19-Casse!B$25)*$B35/SUMIFS($B$6:$B$68,$A$6:$A$68,"&gt;="&amp;Parametri!B$63)/0.25)))</f>
        <v>5</v>
      </c>
      <c r="F35" s="132" t="str">
        <f aca="false">IF(C35&lt;E35,"KO",IF(AND(C35&gt;0,D35=0),"NO RESP","OK"))</f>
        <v>OK</v>
      </c>
      <c r="G35" s="113" t="n">
        <f aca="false">SUMPRODUCT((Turni!$I$5:$I$27&lt;=$A35)*(Turni!$J$5:$J$27&gt;$A35))</f>
        <v>4</v>
      </c>
      <c r="H35" s="113" t="n">
        <f aca="false">SUMPRODUCT((Turni!$I$5:$I$27&lt;=$A35)*(Turni!$J$5:$J$27&gt;$A35)*(Turni!$B$5:$B$27="RESP"))</f>
        <v>1</v>
      </c>
      <c r="I35" s="131" t="n">
        <f aca="false">IF($A35&lt;Parametri!C$63,0,MAX(Parametri!$B$66,IF(AND($A35&gt;=8/24,$A35&lt;21/24),INDEX(Casse!C$6:C$18,INT($A35*24)-7)+Parametri!$B$17,0)+INT((OreRichieste!C$17-Casse!C$19-Casse!C$25)*$B35/SUMIFS($B$6:$B$68,$A$6:$A$68,"&gt;="&amp;Parametri!C$63)/0.25)))</f>
        <v>4</v>
      </c>
      <c r="J35" s="132" t="str">
        <f aca="false">IF(G35&lt;I35,"KO",IF(AND(G35&gt;0,H35=0),"NO RESP","OK"))</f>
        <v>OK</v>
      </c>
      <c r="K35" s="113" t="n">
        <f aca="false">SUMPRODUCT((Turni!$L$5:$L$27&lt;=$A35)*(Turni!$M$5:$M$27&gt;$A35))</f>
        <v>4</v>
      </c>
      <c r="L35" s="113" t="n">
        <f aca="false">SUMPRODUCT((Turni!$L$5:$L$27&lt;=$A35)*(Turni!$M$5:$M$27&gt;$A35)*(Turni!$B$5:$B$27="RESP"))</f>
        <v>1</v>
      </c>
      <c r="M35" s="131" t="n">
        <f aca="false">IF($A35&lt;Parametri!D$63,0,MAX(Parametri!$B$66,IF(AND($A35&gt;=8/24,$A35&lt;21/24),INDEX(Casse!D$6:D$18,INT($A35*24)-7)+Parametri!$B$17,0)+INT((OreRichieste!D$17-Casse!D$19-Casse!D$25)*$B35/SUMIFS($B$6:$B$68,$A$6:$A$68,"&gt;="&amp;Parametri!D$63)/0.25)))</f>
        <v>4</v>
      </c>
      <c r="N35" s="132" t="str">
        <f aca="false">IF(K35&lt;M35,"KO",IF(AND(K35&gt;0,L35=0),"NO RESP","OK"))</f>
        <v>OK</v>
      </c>
      <c r="O35" s="113" t="n">
        <f aca="false">SUMPRODUCT((Turni!$O$5:$O$27&lt;=$A35)*(Turni!$P$5:$P$27&gt;$A35))</f>
        <v>5</v>
      </c>
      <c r="P35" s="113" t="n">
        <f aca="false">SUMPRODUCT((Turni!$O$5:$O$27&lt;=$A35)*(Turni!$P$5:$P$27&gt;$A35)*(Turni!$B$5:$B$27="RESP"))</f>
        <v>1</v>
      </c>
      <c r="Q35" s="131" t="n">
        <f aca="false">IF($A35&lt;Parametri!E$63,0,MAX(Parametri!$B$66,IF(AND($A35&gt;=8/24,$A35&lt;21/24),INDEX(Casse!E$6:E$18,INT($A35*24)-7)+Parametri!$B$17,0)+INT((OreRichieste!E$17-Casse!E$19-Casse!E$25)*$B35/SUMIFS($B$6:$B$68,$A$6:$A$68,"&gt;="&amp;Parametri!E$63)/0.25)))</f>
        <v>5</v>
      </c>
      <c r="R35" s="132" t="str">
        <f aca="false">IF(O35&lt;Q35,"KO",IF(AND(O35&gt;0,P35=0),"NO RESP","OK"))</f>
        <v>OK</v>
      </c>
      <c r="S35" s="113" t="n">
        <f aca="false">SUMPRODUCT((Turni!$R$5:$R$27&lt;=$A35)*(Turni!$S$5:$S$27&gt;$A35))</f>
        <v>5</v>
      </c>
      <c r="T35" s="113" t="n">
        <f aca="false">SUMPRODUCT((Turni!$R$5:$R$27&lt;=$A35)*(Turni!$S$5:$S$27&gt;$A35)*(Turni!$B$5:$B$27="RESP"))</f>
        <v>2</v>
      </c>
      <c r="U35" s="131" t="n">
        <f aca="false">IF($A35&lt;Parametri!F$63,0,MAX(Parametri!$B$66,IF(AND($A35&gt;=8/24,$A35&lt;21/24),INDEX(Casse!F$6:F$18,INT($A35*24)-7)+Parametri!$B$17,0)+INT((OreRichieste!F$17-Casse!F$19-Casse!F$25)*$B35/SUMIFS($B$6:$B$68,$A$6:$A$68,"&gt;="&amp;Parametri!F$63)/0.25)))</f>
        <v>5</v>
      </c>
      <c r="V35" s="132" t="str">
        <f aca="false">IF(S35&lt;U35,"KO",IF(AND(S35&gt;0,T35=0),"NO RESP","OK"))</f>
        <v>OK</v>
      </c>
      <c r="W35" s="113" t="n">
        <f aca="false">SUMPRODUCT((Turni!$U$5:$U$27&lt;=$A35)*(Turni!$V$5:$V$27&gt;$A35))</f>
        <v>6</v>
      </c>
      <c r="X35" s="113" t="n">
        <f aca="false">SUMPRODUCT((Turni!$U$5:$U$27&lt;=$A35)*(Turni!$V$5:$V$27&gt;$A35)*(Turni!$B$5:$B$27="RESP"))</f>
        <v>2</v>
      </c>
      <c r="Y35" s="131" t="n">
        <f aca="false">IF($A35&lt;Parametri!G$63,0,MAX(Parametri!$B$66,IF(AND($A35&gt;=8/24,$A35&lt;21/24),INDEX(Casse!G$6:G$18,INT($A35*24)-7)+Parametri!$B$17,0)+INT((OreRichieste!G$17-Casse!G$19-Casse!G$25)*$B35/SUMIFS($B$6:$B$68,$A$6:$A$68,"&gt;="&amp;Parametri!G$63)/0.25)))</f>
        <v>6</v>
      </c>
      <c r="Z35" s="132" t="str">
        <f aca="false">IF(W35&lt;Y35,"KO",IF(AND(W35&gt;0,X35=0),"NO RESP","OK"))</f>
        <v>OK</v>
      </c>
      <c r="AA35" s="113" t="n">
        <f aca="false">SUMPRODUCT((Turni!$X$5:$X$27&lt;=$A35)*(Turni!$Y$5:$Y$27&gt;$A35))</f>
        <v>4</v>
      </c>
      <c r="AB35" s="113" t="n">
        <f aca="false">SUMPRODUCT((Turni!$X$5:$X$27&lt;=$A35)*(Turni!$Y$5:$Y$27&gt;$A35)*(Turni!$B$5:$B$27="RESP"))</f>
        <v>1</v>
      </c>
      <c r="AC35" s="131" t="n">
        <f aca="false">IF($A35&lt;Parametri!H$63,0,MAX(Parametri!$B$66,IF(AND($A35&gt;=8/24,$A35&lt;21/24),INDEX(Casse!H$6:H$18,INT($A35*24)-7)+Parametri!$B$17,0)+INT((OreRichieste!H$17-Casse!H$19-Casse!H$25)*$B35/SUMIFS($B$6:$B$68,$A$6:$A$68,"&gt;="&amp;Parametri!H$63)/0.25)))</f>
        <v>4</v>
      </c>
      <c r="AD35" s="132" t="str">
        <f aca="false">IF(AA35&lt;AC35,"KO",IF(AND(AA35&gt;0,AB35=0),"NO RESP","OK"))</f>
        <v>OK</v>
      </c>
      <c r="AE35" s="133" t="s">
        <v>193</v>
      </c>
    </row>
    <row r="36" customFormat="false" ht="15" hidden="false" customHeight="true" outlineLevel="0" collapsed="false">
      <c r="A36" s="129" t="n">
        <v>0.541666666666667</v>
      </c>
      <c r="B36" s="130" t="n">
        <v>0.95</v>
      </c>
      <c r="C36" s="113" t="n">
        <f aca="false">SUMPRODUCT((Turni!$F$5:$F$27&lt;=$A36)*(Turni!$G$5:$G$27&gt;$A36))</f>
        <v>5</v>
      </c>
      <c r="D36" s="113" t="n">
        <f aca="false">SUMPRODUCT((Turni!$F$5:$F$27&lt;=$A36)*(Turni!$G$5:$G$27&gt;$A36)*(Turni!$B$5:$B$27="RESP"))</f>
        <v>1</v>
      </c>
      <c r="E36" s="131" t="n">
        <f aca="false">IF($A36&lt;Parametri!B$63,0,MAX(Parametri!$B$66,IF(AND($A36&gt;=8/24,$A36&lt;21/24),INDEX(Casse!B$6:B$18,INT($A36*24)-7)+Parametri!$B$17,0)+INT((OreRichieste!B$17-Casse!B$19-Casse!B$25)*$B36/SUMIFS($B$6:$B$68,$A$6:$A$68,"&gt;="&amp;Parametri!B$63)/0.25)))</f>
        <v>5</v>
      </c>
      <c r="F36" s="132" t="str">
        <f aca="false">IF(C36&lt;E36,"KO",IF(AND(C36&gt;0,D36=0),"NO RESP","OK"))</f>
        <v>OK</v>
      </c>
      <c r="G36" s="113" t="n">
        <f aca="false">SUMPRODUCT((Turni!$I$5:$I$27&lt;=$A36)*(Turni!$J$5:$J$27&gt;$A36))</f>
        <v>4</v>
      </c>
      <c r="H36" s="113" t="n">
        <f aca="false">SUMPRODUCT((Turni!$I$5:$I$27&lt;=$A36)*(Turni!$J$5:$J$27&gt;$A36)*(Turni!$B$5:$B$27="RESP"))</f>
        <v>1</v>
      </c>
      <c r="I36" s="131" t="n">
        <f aca="false">IF($A36&lt;Parametri!C$63,0,MAX(Parametri!$B$66,IF(AND($A36&gt;=8/24,$A36&lt;21/24),INDEX(Casse!C$6:C$18,INT($A36*24)-7)+Parametri!$B$17,0)+INT((OreRichieste!C$17-Casse!C$19-Casse!C$25)*$B36/SUMIFS($B$6:$B$68,$A$6:$A$68,"&gt;="&amp;Parametri!C$63)/0.25)))</f>
        <v>4</v>
      </c>
      <c r="J36" s="132" t="str">
        <f aca="false">IF(G36&lt;I36,"KO",IF(AND(G36&gt;0,H36=0),"NO RESP","OK"))</f>
        <v>OK</v>
      </c>
      <c r="K36" s="113" t="n">
        <f aca="false">SUMPRODUCT((Turni!$L$5:$L$27&lt;=$A36)*(Turni!$M$5:$M$27&gt;$A36))</f>
        <v>4</v>
      </c>
      <c r="L36" s="113" t="n">
        <f aca="false">SUMPRODUCT((Turni!$L$5:$L$27&lt;=$A36)*(Turni!$M$5:$M$27&gt;$A36)*(Turni!$B$5:$B$27="RESP"))</f>
        <v>1</v>
      </c>
      <c r="M36" s="131" t="n">
        <f aca="false">IF($A36&lt;Parametri!D$63,0,MAX(Parametri!$B$66,IF(AND($A36&gt;=8/24,$A36&lt;21/24),INDEX(Casse!D$6:D$18,INT($A36*24)-7)+Parametri!$B$17,0)+INT((OreRichieste!D$17-Casse!D$19-Casse!D$25)*$B36/SUMIFS($B$6:$B$68,$A$6:$A$68,"&gt;="&amp;Parametri!D$63)/0.25)))</f>
        <v>4</v>
      </c>
      <c r="N36" s="132" t="str">
        <f aca="false">IF(K36&lt;M36,"KO",IF(AND(K36&gt;0,L36=0),"NO RESP","OK"))</f>
        <v>OK</v>
      </c>
      <c r="O36" s="113" t="n">
        <f aca="false">SUMPRODUCT((Turni!$O$5:$O$27&lt;=$A36)*(Turni!$P$5:$P$27&gt;$A36))</f>
        <v>5</v>
      </c>
      <c r="P36" s="113" t="n">
        <f aca="false">SUMPRODUCT((Turni!$O$5:$O$27&lt;=$A36)*(Turni!$P$5:$P$27&gt;$A36)*(Turni!$B$5:$B$27="RESP"))</f>
        <v>1</v>
      </c>
      <c r="Q36" s="131" t="n">
        <f aca="false">IF($A36&lt;Parametri!E$63,0,MAX(Parametri!$B$66,IF(AND($A36&gt;=8/24,$A36&lt;21/24),INDEX(Casse!E$6:E$18,INT($A36*24)-7)+Parametri!$B$17,0)+INT((OreRichieste!E$17-Casse!E$19-Casse!E$25)*$B36/SUMIFS($B$6:$B$68,$A$6:$A$68,"&gt;="&amp;Parametri!E$63)/0.25)))</f>
        <v>5</v>
      </c>
      <c r="R36" s="132" t="str">
        <f aca="false">IF(O36&lt;Q36,"KO",IF(AND(O36&gt;0,P36=0),"NO RESP","OK"))</f>
        <v>OK</v>
      </c>
      <c r="S36" s="113" t="n">
        <f aca="false">SUMPRODUCT((Turni!$R$5:$R$27&lt;=$A36)*(Turni!$S$5:$S$27&gt;$A36))</f>
        <v>5</v>
      </c>
      <c r="T36" s="113" t="n">
        <f aca="false">SUMPRODUCT((Turni!$R$5:$R$27&lt;=$A36)*(Turni!$S$5:$S$27&gt;$A36)*(Turni!$B$5:$B$27="RESP"))</f>
        <v>2</v>
      </c>
      <c r="U36" s="131" t="n">
        <f aca="false">IF($A36&lt;Parametri!F$63,0,MAX(Parametri!$B$66,IF(AND($A36&gt;=8/24,$A36&lt;21/24),INDEX(Casse!F$6:F$18,INT($A36*24)-7)+Parametri!$B$17,0)+INT((OreRichieste!F$17-Casse!F$19-Casse!F$25)*$B36/SUMIFS($B$6:$B$68,$A$6:$A$68,"&gt;="&amp;Parametri!F$63)/0.25)))</f>
        <v>5</v>
      </c>
      <c r="V36" s="132" t="str">
        <f aca="false">IF(S36&lt;U36,"KO",IF(AND(S36&gt;0,T36=0),"NO RESP","OK"))</f>
        <v>OK</v>
      </c>
      <c r="W36" s="113" t="n">
        <f aca="false">SUMPRODUCT((Turni!$U$5:$U$27&lt;=$A36)*(Turni!$V$5:$V$27&gt;$A36))</f>
        <v>6</v>
      </c>
      <c r="X36" s="113" t="n">
        <f aca="false">SUMPRODUCT((Turni!$U$5:$U$27&lt;=$A36)*(Turni!$V$5:$V$27&gt;$A36)*(Turni!$B$5:$B$27="RESP"))</f>
        <v>2</v>
      </c>
      <c r="Y36" s="131" t="n">
        <f aca="false">IF($A36&lt;Parametri!G$63,0,MAX(Parametri!$B$66,IF(AND($A36&gt;=8/24,$A36&lt;21/24),INDEX(Casse!G$6:G$18,INT($A36*24)-7)+Parametri!$B$17,0)+INT((OreRichieste!G$17-Casse!G$19-Casse!G$25)*$B36/SUMIFS($B$6:$B$68,$A$6:$A$68,"&gt;="&amp;Parametri!G$63)/0.25)))</f>
        <v>6</v>
      </c>
      <c r="Z36" s="132" t="str">
        <f aca="false">IF(W36&lt;Y36,"KO",IF(AND(W36&gt;0,X36=0),"NO RESP","OK"))</f>
        <v>OK</v>
      </c>
      <c r="AA36" s="113" t="n">
        <f aca="false">SUMPRODUCT((Turni!$X$5:$X$27&lt;=$A36)*(Turni!$Y$5:$Y$27&gt;$A36))</f>
        <v>4</v>
      </c>
      <c r="AB36" s="113" t="n">
        <f aca="false">SUMPRODUCT((Turni!$X$5:$X$27&lt;=$A36)*(Turni!$Y$5:$Y$27&gt;$A36)*(Turni!$B$5:$B$27="RESP"))</f>
        <v>1</v>
      </c>
      <c r="AC36" s="131" t="n">
        <f aca="false">IF($A36&lt;Parametri!H$63,0,MAX(Parametri!$B$66,IF(AND($A36&gt;=8/24,$A36&lt;21/24),INDEX(Casse!H$6:H$18,INT($A36*24)-7)+Parametri!$B$17,0)+INT((OreRichieste!H$17-Casse!H$19-Casse!H$25)*$B36/SUMIFS($B$6:$B$68,$A$6:$A$68,"&gt;="&amp;Parametri!H$63)/0.25)))</f>
        <v>4</v>
      </c>
      <c r="AD36" s="132" t="str">
        <f aca="false">IF(AA36&lt;AC36,"KO",IF(AND(AA36&gt;0,AB36=0),"NO RESP","OK"))</f>
        <v>OK</v>
      </c>
      <c r="AE36" s="133" t="s">
        <v>194</v>
      </c>
    </row>
    <row r="37" customFormat="false" ht="15" hidden="false" customHeight="true" outlineLevel="0" collapsed="false">
      <c r="A37" s="129" t="n">
        <v>0.552083333333333</v>
      </c>
      <c r="B37" s="130" t="n">
        <v>0.95</v>
      </c>
      <c r="C37" s="113" t="n">
        <f aca="false">SUMPRODUCT((Turni!$F$5:$F$27&lt;=$A37)*(Turni!$G$5:$G$27&gt;$A37))</f>
        <v>5</v>
      </c>
      <c r="D37" s="113" t="n">
        <f aca="false">SUMPRODUCT((Turni!$F$5:$F$27&lt;=$A37)*(Turni!$G$5:$G$27&gt;$A37)*(Turni!$B$5:$B$27="RESP"))</f>
        <v>1</v>
      </c>
      <c r="E37" s="131" t="n">
        <f aca="false">IF($A37&lt;Parametri!B$63,0,MAX(Parametri!$B$66,IF(AND($A37&gt;=8/24,$A37&lt;21/24),INDEX(Casse!B$6:B$18,INT($A37*24)-7)+Parametri!$B$17,0)+INT((OreRichieste!B$17-Casse!B$19-Casse!B$25)*$B37/SUMIFS($B$6:$B$68,$A$6:$A$68,"&gt;="&amp;Parametri!B$63)/0.25)))</f>
        <v>5</v>
      </c>
      <c r="F37" s="132" t="str">
        <f aca="false">IF(C37&lt;E37,"KO",IF(AND(C37&gt;0,D37=0),"NO RESP","OK"))</f>
        <v>OK</v>
      </c>
      <c r="G37" s="113" t="n">
        <f aca="false">SUMPRODUCT((Turni!$I$5:$I$27&lt;=$A37)*(Turni!$J$5:$J$27&gt;$A37))</f>
        <v>4</v>
      </c>
      <c r="H37" s="113" t="n">
        <f aca="false">SUMPRODUCT((Turni!$I$5:$I$27&lt;=$A37)*(Turni!$J$5:$J$27&gt;$A37)*(Turni!$B$5:$B$27="RESP"))</f>
        <v>1</v>
      </c>
      <c r="I37" s="131" t="n">
        <f aca="false">IF($A37&lt;Parametri!C$63,0,MAX(Parametri!$B$66,IF(AND($A37&gt;=8/24,$A37&lt;21/24),INDEX(Casse!C$6:C$18,INT($A37*24)-7)+Parametri!$B$17,0)+INT((OreRichieste!C$17-Casse!C$19-Casse!C$25)*$B37/SUMIFS($B$6:$B$68,$A$6:$A$68,"&gt;="&amp;Parametri!C$63)/0.25)))</f>
        <v>4</v>
      </c>
      <c r="J37" s="132" t="str">
        <f aca="false">IF(G37&lt;I37,"KO",IF(AND(G37&gt;0,H37=0),"NO RESP","OK"))</f>
        <v>OK</v>
      </c>
      <c r="K37" s="113" t="n">
        <f aca="false">SUMPRODUCT((Turni!$L$5:$L$27&lt;=$A37)*(Turni!$M$5:$M$27&gt;$A37))</f>
        <v>4</v>
      </c>
      <c r="L37" s="113" t="n">
        <f aca="false">SUMPRODUCT((Turni!$L$5:$L$27&lt;=$A37)*(Turni!$M$5:$M$27&gt;$A37)*(Turni!$B$5:$B$27="RESP"))</f>
        <v>1</v>
      </c>
      <c r="M37" s="131" t="n">
        <f aca="false">IF($A37&lt;Parametri!D$63,0,MAX(Parametri!$B$66,IF(AND($A37&gt;=8/24,$A37&lt;21/24),INDEX(Casse!D$6:D$18,INT($A37*24)-7)+Parametri!$B$17,0)+INT((OreRichieste!D$17-Casse!D$19-Casse!D$25)*$B37/SUMIFS($B$6:$B$68,$A$6:$A$68,"&gt;="&amp;Parametri!D$63)/0.25)))</f>
        <v>4</v>
      </c>
      <c r="N37" s="132" t="str">
        <f aca="false">IF(K37&lt;M37,"KO",IF(AND(K37&gt;0,L37=0),"NO RESP","OK"))</f>
        <v>OK</v>
      </c>
      <c r="O37" s="113" t="n">
        <f aca="false">SUMPRODUCT((Turni!$O$5:$O$27&lt;=$A37)*(Turni!$P$5:$P$27&gt;$A37))</f>
        <v>5</v>
      </c>
      <c r="P37" s="113" t="n">
        <f aca="false">SUMPRODUCT((Turni!$O$5:$O$27&lt;=$A37)*(Turni!$P$5:$P$27&gt;$A37)*(Turni!$B$5:$B$27="RESP"))</f>
        <v>1</v>
      </c>
      <c r="Q37" s="131" t="n">
        <f aca="false">IF($A37&lt;Parametri!E$63,0,MAX(Parametri!$B$66,IF(AND($A37&gt;=8/24,$A37&lt;21/24),INDEX(Casse!E$6:E$18,INT($A37*24)-7)+Parametri!$B$17,0)+INT((OreRichieste!E$17-Casse!E$19-Casse!E$25)*$B37/SUMIFS($B$6:$B$68,$A$6:$A$68,"&gt;="&amp;Parametri!E$63)/0.25)))</f>
        <v>5</v>
      </c>
      <c r="R37" s="132" t="str">
        <f aca="false">IF(O37&lt;Q37,"KO",IF(AND(O37&gt;0,P37=0),"NO RESP","OK"))</f>
        <v>OK</v>
      </c>
      <c r="S37" s="113" t="n">
        <f aca="false">SUMPRODUCT((Turni!$R$5:$R$27&lt;=$A37)*(Turni!$S$5:$S$27&gt;$A37))</f>
        <v>5</v>
      </c>
      <c r="T37" s="113" t="n">
        <f aca="false">SUMPRODUCT((Turni!$R$5:$R$27&lt;=$A37)*(Turni!$S$5:$S$27&gt;$A37)*(Turni!$B$5:$B$27="RESP"))</f>
        <v>2</v>
      </c>
      <c r="U37" s="131" t="n">
        <f aca="false">IF($A37&lt;Parametri!F$63,0,MAX(Parametri!$B$66,IF(AND($A37&gt;=8/24,$A37&lt;21/24),INDEX(Casse!F$6:F$18,INT($A37*24)-7)+Parametri!$B$17,0)+INT((OreRichieste!F$17-Casse!F$19-Casse!F$25)*$B37/SUMIFS($B$6:$B$68,$A$6:$A$68,"&gt;="&amp;Parametri!F$63)/0.25)))</f>
        <v>5</v>
      </c>
      <c r="V37" s="132" t="str">
        <f aca="false">IF(S37&lt;U37,"KO",IF(AND(S37&gt;0,T37=0),"NO RESP","OK"))</f>
        <v>OK</v>
      </c>
      <c r="W37" s="113" t="n">
        <f aca="false">SUMPRODUCT((Turni!$U$5:$U$27&lt;=$A37)*(Turni!$V$5:$V$27&gt;$A37))</f>
        <v>6</v>
      </c>
      <c r="X37" s="113" t="n">
        <f aca="false">SUMPRODUCT((Turni!$U$5:$U$27&lt;=$A37)*(Turni!$V$5:$V$27&gt;$A37)*(Turni!$B$5:$B$27="RESP"))</f>
        <v>2</v>
      </c>
      <c r="Y37" s="131" t="n">
        <f aca="false">IF($A37&lt;Parametri!G$63,0,MAX(Parametri!$B$66,IF(AND($A37&gt;=8/24,$A37&lt;21/24),INDEX(Casse!G$6:G$18,INT($A37*24)-7)+Parametri!$B$17,0)+INT((OreRichieste!G$17-Casse!G$19-Casse!G$25)*$B37/SUMIFS($B$6:$B$68,$A$6:$A$68,"&gt;="&amp;Parametri!G$63)/0.25)))</f>
        <v>6</v>
      </c>
      <c r="Z37" s="132" t="str">
        <f aca="false">IF(W37&lt;Y37,"KO",IF(AND(W37&gt;0,X37=0),"NO RESP","OK"))</f>
        <v>OK</v>
      </c>
      <c r="AA37" s="113" t="n">
        <f aca="false">SUMPRODUCT((Turni!$X$5:$X$27&lt;=$A37)*(Turni!$Y$5:$Y$27&gt;$A37))</f>
        <v>4</v>
      </c>
      <c r="AB37" s="113" t="n">
        <f aca="false">SUMPRODUCT((Turni!$X$5:$X$27&lt;=$A37)*(Turni!$Y$5:$Y$27&gt;$A37)*(Turni!$B$5:$B$27="RESP"))</f>
        <v>1</v>
      </c>
      <c r="AC37" s="131" t="n">
        <f aca="false">IF($A37&lt;Parametri!H$63,0,MAX(Parametri!$B$66,IF(AND($A37&gt;=8/24,$A37&lt;21/24),INDEX(Casse!H$6:H$18,INT($A37*24)-7)+Parametri!$B$17,0)+INT((OreRichieste!H$17-Casse!H$19-Casse!H$25)*$B37/SUMIFS($B$6:$B$68,$A$6:$A$68,"&gt;="&amp;Parametri!H$63)/0.25)))</f>
        <v>4</v>
      </c>
      <c r="AD37" s="132" t="str">
        <f aca="false">IF(AA37&lt;AC37,"KO",IF(AND(AA37&gt;0,AB37=0),"NO RESP","OK"))</f>
        <v>OK</v>
      </c>
      <c r="AE37" s="133" t="s">
        <v>195</v>
      </c>
    </row>
    <row r="38" customFormat="false" ht="15" hidden="false" customHeight="true" outlineLevel="0" collapsed="false">
      <c r="A38" s="129" t="n">
        <v>0.5625</v>
      </c>
      <c r="B38" s="130" t="n">
        <v>0.95</v>
      </c>
      <c r="C38" s="113" t="n">
        <f aca="false">SUMPRODUCT((Turni!$F$5:$F$27&lt;=$A38)*(Turni!$G$5:$G$27&gt;$A38))</f>
        <v>5</v>
      </c>
      <c r="D38" s="113" t="n">
        <f aca="false">SUMPRODUCT((Turni!$F$5:$F$27&lt;=$A38)*(Turni!$G$5:$G$27&gt;$A38)*(Turni!$B$5:$B$27="RESP"))</f>
        <v>1</v>
      </c>
      <c r="E38" s="131" t="n">
        <f aca="false">IF($A38&lt;Parametri!B$63,0,MAX(Parametri!$B$66,IF(AND($A38&gt;=8/24,$A38&lt;21/24),INDEX(Casse!B$6:B$18,INT($A38*24)-7)+Parametri!$B$17,0)+INT((OreRichieste!B$17-Casse!B$19-Casse!B$25)*$B38/SUMIFS($B$6:$B$68,$A$6:$A$68,"&gt;="&amp;Parametri!B$63)/0.25)))</f>
        <v>5</v>
      </c>
      <c r="F38" s="132" t="str">
        <f aca="false">IF(C38&lt;E38,"KO",IF(AND(C38&gt;0,D38=0),"NO RESP","OK"))</f>
        <v>OK</v>
      </c>
      <c r="G38" s="113" t="n">
        <f aca="false">SUMPRODUCT((Turni!$I$5:$I$27&lt;=$A38)*(Turni!$J$5:$J$27&gt;$A38))</f>
        <v>4</v>
      </c>
      <c r="H38" s="113" t="n">
        <f aca="false">SUMPRODUCT((Turni!$I$5:$I$27&lt;=$A38)*(Turni!$J$5:$J$27&gt;$A38)*(Turni!$B$5:$B$27="RESP"))</f>
        <v>1</v>
      </c>
      <c r="I38" s="131" t="n">
        <f aca="false">IF($A38&lt;Parametri!C$63,0,MAX(Parametri!$B$66,IF(AND($A38&gt;=8/24,$A38&lt;21/24),INDEX(Casse!C$6:C$18,INT($A38*24)-7)+Parametri!$B$17,0)+INT((OreRichieste!C$17-Casse!C$19-Casse!C$25)*$B38/SUMIFS($B$6:$B$68,$A$6:$A$68,"&gt;="&amp;Parametri!C$63)/0.25)))</f>
        <v>4</v>
      </c>
      <c r="J38" s="132" t="str">
        <f aca="false">IF(G38&lt;I38,"KO",IF(AND(G38&gt;0,H38=0),"NO RESP","OK"))</f>
        <v>OK</v>
      </c>
      <c r="K38" s="113" t="n">
        <f aca="false">SUMPRODUCT((Turni!$L$5:$L$27&lt;=$A38)*(Turni!$M$5:$M$27&gt;$A38))</f>
        <v>4</v>
      </c>
      <c r="L38" s="113" t="n">
        <f aca="false">SUMPRODUCT((Turni!$L$5:$L$27&lt;=$A38)*(Turni!$M$5:$M$27&gt;$A38)*(Turni!$B$5:$B$27="RESP"))</f>
        <v>1</v>
      </c>
      <c r="M38" s="131" t="n">
        <f aca="false">IF($A38&lt;Parametri!D$63,0,MAX(Parametri!$B$66,IF(AND($A38&gt;=8/24,$A38&lt;21/24),INDEX(Casse!D$6:D$18,INT($A38*24)-7)+Parametri!$B$17,0)+INT((OreRichieste!D$17-Casse!D$19-Casse!D$25)*$B38/SUMIFS($B$6:$B$68,$A$6:$A$68,"&gt;="&amp;Parametri!D$63)/0.25)))</f>
        <v>4</v>
      </c>
      <c r="N38" s="132" t="str">
        <f aca="false">IF(K38&lt;M38,"KO",IF(AND(K38&gt;0,L38=0),"NO RESP","OK"))</f>
        <v>OK</v>
      </c>
      <c r="O38" s="113" t="n">
        <f aca="false">SUMPRODUCT((Turni!$O$5:$O$27&lt;=$A38)*(Turni!$P$5:$P$27&gt;$A38))</f>
        <v>5</v>
      </c>
      <c r="P38" s="113" t="n">
        <f aca="false">SUMPRODUCT((Turni!$O$5:$O$27&lt;=$A38)*(Turni!$P$5:$P$27&gt;$A38)*(Turni!$B$5:$B$27="RESP"))</f>
        <v>1</v>
      </c>
      <c r="Q38" s="131" t="n">
        <f aca="false">IF($A38&lt;Parametri!E$63,0,MAX(Parametri!$B$66,IF(AND($A38&gt;=8/24,$A38&lt;21/24),INDEX(Casse!E$6:E$18,INT($A38*24)-7)+Parametri!$B$17,0)+INT((OreRichieste!E$17-Casse!E$19-Casse!E$25)*$B38/SUMIFS($B$6:$B$68,$A$6:$A$68,"&gt;="&amp;Parametri!E$63)/0.25)))</f>
        <v>5</v>
      </c>
      <c r="R38" s="132" t="str">
        <f aca="false">IF(O38&lt;Q38,"KO",IF(AND(O38&gt;0,P38=0),"NO RESP","OK"))</f>
        <v>OK</v>
      </c>
      <c r="S38" s="113" t="n">
        <f aca="false">SUMPRODUCT((Turni!$R$5:$R$27&lt;=$A38)*(Turni!$S$5:$S$27&gt;$A38))</f>
        <v>5</v>
      </c>
      <c r="T38" s="113" t="n">
        <f aca="false">SUMPRODUCT((Turni!$R$5:$R$27&lt;=$A38)*(Turni!$S$5:$S$27&gt;$A38)*(Turni!$B$5:$B$27="RESP"))</f>
        <v>2</v>
      </c>
      <c r="U38" s="131" t="n">
        <f aca="false">IF($A38&lt;Parametri!F$63,0,MAX(Parametri!$B$66,IF(AND($A38&gt;=8/24,$A38&lt;21/24),INDEX(Casse!F$6:F$18,INT($A38*24)-7)+Parametri!$B$17,0)+INT((OreRichieste!F$17-Casse!F$19-Casse!F$25)*$B38/SUMIFS($B$6:$B$68,$A$6:$A$68,"&gt;="&amp;Parametri!F$63)/0.25)))</f>
        <v>5</v>
      </c>
      <c r="V38" s="132" t="str">
        <f aca="false">IF(S38&lt;U38,"KO",IF(AND(S38&gt;0,T38=0),"NO RESP","OK"))</f>
        <v>OK</v>
      </c>
      <c r="W38" s="113" t="n">
        <f aca="false">SUMPRODUCT((Turni!$U$5:$U$27&lt;=$A38)*(Turni!$V$5:$V$27&gt;$A38))</f>
        <v>6</v>
      </c>
      <c r="X38" s="113" t="n">
        <f aca="false">SUMPRODUCT((Turni!$U$5:$U$27&lt;=$A38)*(Turni!$V$5:$V$27&gt;$A38)*(Turni!$B$5:$B$27="RESP"))</f>
        <v>2</v>
      </c>
      <c r="Y38" s="131" t="n">
        <f aca="false">IF($A38&lt;Parametri!G$63,0,MAX(Parametri!$B$66,IF(AND($A38&gt;=8/24,$A38&lt;21/24),INDEX(Casse!G$6:G$18,INT($A38*24)-7)+Parametri!$B$17,0)+INT((OreRichieste!G$17-Casse!G$19-Casse!G$25)*$B38/SUMIFS($B$6:$B$68,$A$6:$A$68,"&gt;="&amp;Parametri!G$63)/0.25)))</f>
        <v>6</v>
      </c>
      <c r="Z38" s="132" t="str">
        <f aca="false">IF(W38&lt;Y38,"KO",IF(AND(W38&gt;0,X38=0),"NO RESP","OK"))</f>
        <v>OK</v>
      </c>
      <c r="AA38" s="113" t="n">
        <f aca="false">SUMPRODUCT((Turni!$X$5:$X$27&lt;=$A38)*(Turni!$Y$5:$Y$27&gt;$A38))</f>
        <v>4</v>
      </c>
      <c r="AB38" s="113" t="n">
        <f aca="false">SUMPRODUCT((Turni!$X$5:$X$27&lt;=$A38)*(Turni!$Y$5:$Y$27&gt;$A38)*(Turni!$B$5:$B$27="RESP"))</f>
        <v>1</v>
      </c>
      <c r="AC38" s="131" t="n">
        <f aca="false">IF($A38&lt;Parametri!H$63,0,MAX(Parametri!$B$66,IF(AND($A38&gt;=8/24,$A38&lt;21/24),INDEX(Casse!H$6:H$18,INT($A38*24)-7)+Parametri!$B$17,0)+INT((OreRichieste!H$17-Casse!H$19-Casse!H$25)*$B38/SUMIFS($B$6:$B$68,$A$6:$A$68,"&gt;="&amp;Parametri!H$63)/0.25)))</f>
        <v>4</v>
      </c>
      <c r="AD38" s="132" t="str">
        <f aca="false">IF(AA38&lt;AC38,"KO",IF(AND(AA38&gt;0,AB38=0),"NO RESP","OK"))</f>
        <v>OK</v>
      </c>
      <c r="AE38" s="133" t="s">
        <v>196</v>
      </c>
    </row>
    <row r="39" customFormat="false" ht="15" hidden="false" customHeight="true" outlineLevel="0" collapsed="false">
      <c r="A39" s="129" t="n">
        <v>0.572916666666667</v>
      </c>
      <c r="B39" s="130" t="n">
        <v>0.95</v>
      </c>
      <c r="C39" s="113" t="n">
        <f aca="false">SUMPRODUCT((Turni!$F$5:$F$27&lt;=$A39)*(Turni!$G$5:$G$27&gt;$A39))</f>
        <v>5</v>
      </c>
      <c r="D39" s="113" t="n">
        <f aca="false">SUMPRODUCT((Turni!$F$5:$F$27&lt;=$A39)*(Turni!$G$5:$G$27&gt;$A39)*(Turni!$B$5:$B$27="RESP"))</f>
        <v>1</v>
      </c>
      <c r="E39" s="131" t="n">
        <f aca="false">IF($A39&lt;Parametri!B$63,0,MAX(Parametri!$B$66,IF(AND($A39&gt;=8/24,$A39&lt;21/24),INDEX(Casse!B$6:B$18,INT($A39*24)-7)+Parametri!$B$17,0)+INT((OreRichieste!B$17-Casse!B$19-Casse!B$25)*$B39/SUMIFS($B$6:$B$68,$A$6:$A$68,"&gt;="&amp;Parametri!B$63)/0.25)))</f>
        <v>5</v>
      </c>
      <c r="F39" s="132" t="str">
        <f aca="false">IF(C39&lt;E39,"KO",IF(AND(C39&gt;0,D39=0),"NO RESP","OK"))</f>
        <v>OK</v>
      </c>
      <c r="G39" s="113" t="n">
        <f aca="false">SUMPRODUCT((Turni!$I$5:$I$27&lt;=$A39)*(Turni!$J$5:$J$27&gt;$A39))</f>
        <v>4</v>
      </c>
      <c r="H39" s="113" t="n">
        <f aca="false">SUMPRODUCT((Turni!$I$5:$I$27&lt;=$A39)*(Turni!$J$5:$J$27&gt;$A39)*(Turni!$B$5:$B$27="RESP"))</f>
        <v>1</v>
      </c>
      <c r="I39" s="131" t="n">
        <f aca="false">IF($A39&lt;Parametri!C$63,0,MAX(Parametri!$B$66,IF(AND($A39&gt;=8/24,$A39&lt;21/24),INDEX(Casse!C$6:C$18,INT($A39*24)-7)+Parametri!$B$17,0)+INT((OreRichieste!C$17-Casse!C$19-Casse!C$25)*$B39/SUMIFS($B$6:$B$68,$A$6:$A$68,"&gt;="&amp;Parametri!C$63)/0.25)))</f>
        <v>4</v>
      </c>
      <c r="J39" s="132" t="str">
        <f aca="false">IF(G39&lt;I39,"KO",IF(AND(G39&gt;0,H39=0),"NO RESP","OK"))</f>
        <v>OK</v>
      </c>
      <c r="K39" s="113" t="n">
        <f aca="false">SUMPRODUCT((Turni!$L$5:$L$27&lt;=$A39)*(Turni!$M$5:$M$27&gt;$A39))</f>
        <v>4</v>
      </c>
      <c r="L39" s="113" t="n">
        <f aca="false">SUMPRODUCT((Turni!$L$5:$L$27&lt;=$A39)*(Turni!$M$5:$M$27&gt;$A39)*(Turni!$B$5:$B$27="RESP"))</f>
        <v>1</v>
      </c>
      <c r="M39" s="131" t="n">
        <f aca="false">IF($A39&lt;Parametri!D$63,0,MAX(Parametri!$B$66,IF(AND($A39&gt;=8/24,$A39&lt;21/24),INDEX(Casse!D$6:D$18,INT($A39*24)-7)+Parametri!$B$17,0)+INT((OreRichieste!D$17-Casse!D$19-Casse!D$25)*$B39/SUMIFS($B$6:$B$68,$A$6:$A$68,"&gt;="&amp;Parametri!D$63)/0.25)))</f>
        <v>4</v>
      </c>
      <c r="N39" s="132" t="str">
        <f aca="false">IF(K39&lt;M39,"KO",IF(AND(K39&gt;0,L39=0),"NO RESP","OK"))</f>
        <v>OK</v>
      </c>
      <c r="O39" s="113" t="n">
        <f aca="false">SUMPRODUCT((Turni!$O$5:$O$27&lt;=$A39)*(Turni!$P$5:$P$27&gt;$A39))</f>
        <v>5</v>
      </c>
      <c r="P39" s="113" t="n">
        <f aca="false">SUMPRODUCT((Turni!$O$5:$O$27&lt;=$A39)*(Turni!$P$5:$P$27&gt;$A39)*(Turni!$B$5:$B$27="RESP"))</f>
        <v>1</v>
      </c>
      <c r="Q39" s="131" t="n">
        <f aca="false">IF($A39&lt;Parametri!E$63,0,MAX(Parametri!$B$66,IF(AND($A39&gt;=8/24,$A39&lt;21/24),INDEX(Casse!E$6:E$18,INT($A39*24)-7)+Parametri!$B$17,0)+INT((OreRichieste!E$17-Casse!E$19-Casse!E$25)*$B39/SUMIFS($B$6:$B$68,$A$6:$A$68,"&gt;="&amp;Parametri!E$63)/0.25)))</f>
        <v>5</v>
      </c>
      <c r="R39" s="132" t="str">
        <f aca="false">IF(O39&lt;Q39,"KO",IF(AND(O39&gt;0,P39=0),"NO RESP","OK"))</f>
        <v>OK</v>
      </c>
      <c r="S39" s="113" t="n">
        <f aca="false">SUMPRODUCT((Turni!$R$5:$R$27&lt;=$A39)*(Turni!$S$5:$S$27&gt;$A39))</f>
        <v>5</v>
      </c>
      <c r="T39" s="113" t="n">
        <f aca="false">SUMPRODUCT((Turni!$R$5:$R$27&lt;=$A39)*(Turni!$S$5:$S$27&gt;$A39)*(Turni!$B$5:$B$27="RESP"))</f>
        <v>2</v>
      </c>
      <c r="U39" s="131" t="n">
        <f aca="false">IF($A39&lt;Parametri!F$63,0,MAX(Parametri!$B$66,IF(AND($A39&gt;=8/24,$A39&lt;21/24),INDEX(Casse!F$6:F$18,INT($A39*24)-7)+Parametri!$B$17,0)+INT((OreRichieste!F$17-Casse!F$19-Casse!F$25)*$B39/SUMIFS($B$6:$B$68,$A$6:$A$68,"&gt;="&amp;Parametri!F$63)/0.25)))</f>
        <v>5</v>
      </c>
      <c r="V39" s="132" t="str">
        <f aca="false">IF(S39&lt;U39,"KO",IF(AND(S39&gt;0,T39=0),"NO RESP","OK"))</f>
        <v>OK</v>
      </c>
      <c r="W39" s="113" t="n">
        <f aca="false">SUMPRODUCT((Turni!$U$5:$U$27&lt;=$A39)*(Turni!$V$5:$V$27&gt;$A39))</f>
        <v>6</v>
      </c>
      <c r="X39" s="113" t="n">
        <f aca="false">SUMPRODUCT((Turni!$U$5:$U$27&lt;=$A39)*(Turni!$V$5:$V$27&gt;$A39)*(Turni!$B$5:$B$27="RESP"))</f>
        <v>2</v>
      </c>
      <c r="Y39" s="131" t="n">
        <f aca="false">IF($A39&lt;Parametri!G$63,0,MAX(Parametri!$B$66,IF(AND($A39&gt;=8/24,$A39&lt;21/24),INDEX(Casse!G$6:G$18,INT($A39*24)-7)+Parametri!$B$17,0)+INT((OreRichieste!G$17-Casse!G$19-Casse!G$25)*$B39/SUMIFS($B$6:$B$68,$A$6:$A$68,"&gt;="&amp;Parametri!G$63)/0.25)))</f>
        <v>6</v>
      </c>
      <c r="Z39" s="132" t="str">
        <f aca="false">IF(W39&lt;Y39,"KO",IF(AND(W39&gt;0,X39=0),"NO RESP","OK"))</f>
        <v>OK</v>
      </c>
      <c r="AA39" s="113" t="n">
        <f aca="false">SUMPRODUCT((Turni!$X$5:$X$27&lt;=$A39)*(Turni!$Y$5:$Y$27&gt;$A39))</f>
        <v>4</v>
      </c>
      <c r="AB39" s="113" t="n">
        <f aca="false">SUMPRODUCT((Turni!$X$5:$X$27&lt;=$A39)*(Turni!$Y$5:$Y$27&gt;$A39)*(Turni!$B$5:$B$27="RESP"))</f>
        <v>1</v>
      </c>
      <c r="AC39" s="131" t="n">
        <f aca="false">IF($A39&lt;Parametri!H$63,0,MAX(Parametri!$B$66,IF(AND($A39&gt;=8/24,$A39&lt;21/24),INDEX(Casse!H$6:H$18,INT($A39*24)-7)+Parametri!$B$17,0)+INT((OreRichieste!H$17-Casse!H$19-Casse!H$25)*$B39/SUMIFS($B$6:$B$68,$A$6:$A$68,"&gt;="&amp;Parametri!H$63)/0.25)))</f>
        <v>4</v>
      </c>
      <c r="AD39" s="132" t="str">
        <f aca="false">IF(AA39&lt;AC39,"KO",IF(AND(AA39&gt;0,AB39=0),"NO RESP","OK"))</f>
        <v>OK</v>
      </c>
      <c r="AE39" s="133" t="s">
        <v>197</v>
      </c>
    </row>
    <row r="40" customFormat="false" ht="15" hidden="false" customHeight="true" outlineLevel="0" collapsed="false">
      <c r="A40" s="129" t="n">
        <v>0.583333333333333</v>
      </c>
      <c r="B40" s="130" t="n">
        <v>0.95</v>
      </c>
      <c r="C40" s="113" t="n">
        <f aca="false">SUMPRODUCT((Turni!$F$5:$F$27&lt;=$A40)*(Turni!$G$5:$G$27&gt;$A40))</f>
        <v>6</v>
      </c>
      <c r="D40" s="113" t="n">
        <f aca="false">SUMPRODUCT((Turni!$F$5:$F$27&lt;=$A40)*(Turni!$G$5:$G$27&gt;$A40)*(Turni!$B$5:$B$27="RESP"))</f>
        <v>2</v>
      </c>
      <c r="E40" s="131" t="n">
        <f aca="false">IF($A40&lt;Parametri!B$63,0,MAX(Parametri!$B$66,IF(AND($A40&gt;=8/24,$A40&lt;21/24),INDEX(Casse!B$6:B$18,INT($A40*24)-7)+Parametri!$B$17,0)+INT((OreRichieste!B$17-Casse!B$19-Casse!B$25)*$B40/SUMIFS($B$6:$B$68,$A$6:$A$68,"&gt;="&amp;Parametri!B$63)/0.25)))</f>
        <v>5</v>
      </c>
      <c r="F40" s="132" t="str">
        <f aca="false">IF(C40&lt;E40,"KO",IF(AND(C40&gt;0,D40=0),"NO RESP","OK"))</f>
        <v>OK</v>
      </c>
      <c r="G40" s="113" t="n">
        <f aca="false">SUMPRODUCT((Turni!$I$5:$I$27&lt;=$A40)*(Turni!$J$5:$J$27&gt;$A40))</f>
        <v>4</v>
      </c>
      <c r="H40" s="113" t="n">
        <f aca="false">SUMPRODUCT((Turni!$I$5:$I$27&lt;=$A40)*(Turni!$J$5:$J$27&gt;$A40)*(Turni!$B$5:$B$27="RESP"))</f>
        <v>1</v>
      </c>
      <c r="I40" s="131" t="n">
        <f aca="false">IF($A40&lt;Parametri!C$63,0,MAX(Parametri!$B$66,IF(AND($A40&gt;=8/24,$A40&lt;21/24),INDEX(Casse!C$6:C$18,INT($A40*24)-7)+Parametri!$B$17,0)+INT((OreRichieste!C$17-Casse!C$19-Casse!C$25)*$B40/SUMIFS($B$6:$B$68,$A$6:$A$68,"&gt;="&amp;Parametri!C$63)/0.25)))</f>
        <v>4</v>
      </c>
      <c r="J40" s="132" t="str">
        <f aca="false">IF(G40&lt;I40,"KO",IF(AND(G40&gt;0,H40=0),"NO RESP","OK"))</f>
        <v>OK</v>
      </c>
      <c r="K40" s="113" t="n">
        <f aca="false">SUMPRODUCT((Turni!$L$5:$L$27&lt;=$A40)*(Turni!$M$5:$M$27&gt;$A40))</f>
        <v>4</v>
      </c>
      <c r="L40" s="113" t="n">
        <f aca="false">SUMPRODUCT((Turni!$L$5:$L$27&lt;=$A40)*(Turni!$M$5:$M$27&gt;$A40)*(Turni!$B$5:$B$27="RESP"))</f>
        <v>1</v>
      </c>
      <c r="M40" s="131" t="n">
        <f aca="false">IF($A40&lt;Parametri!D$63,0,MAX(Parametri!$B$66,IF(AND($A40&gt;=8/24,$A40&lt;21/24),INDEX(Casse!D$6:D$18,INT($A40*24)-7)+Parametri!$B$17,0)+INT((OreRichieste!D$17-Casse!D$19-Casse!D$25)*$B40/SUMIFS($B$6:$B$68,$A$6:$A$68,"&gt;="&amp;Parametri!D$63)/0.25)))</f>
        <v>4</v>
      </c>
      <c r="N40" s="132" t="str">
        <f aca="false">IF(K40&lt;M40,"KO",IF(AND(K40&gt;0,L40=0),"NO RESP","OK"))</f>
        <v>OK</v>
      </c>
      <c r="O40" s="113" t="n">
        <f aca="false">SUMPRODUCT((Turni!$O$5:$O$27&lt;=$A40)*(Turni!$P$5:$P$27&gt;$A40))</f>
        <v>5</v>
      </c>
      <c r="P40" s="113" t="n">
        <f aca="false">SUMPRODUCT((Turni!$O$5:$O$27&lt;=$A40)*(Turni!$P$5:$P$27&gt;$A40)*(Turni!$B$5:$B$27="RESP"))</f>
        <v>1</v>
      </c>
      <c r="Q40" s="131" t="n">
        <f aca="false">IF($A40&lt;Parametri!E$63,0,MAX(Parametri!$B$66,IF(AND($A40&gt;=8/24,$A40&lt;21/24),INDEX(Casse!E$6:E$18,INT($A40*24)-7)+Parametri!$B$17,0)+INT((OreRichieste!E$17-Casse!E$19-Casse!E$25)*$B40/SUMIFS($B$6:$B$68,$A$6:$A$68,"&gt;="&amp;Parametri!E$63)/0.25)))</f>
        <v>5</v>
      </c>
      <c r="R40" s="132" t="str">
        <f aca="false">IF(O40&lt;Q40,"KO",IF(AND(O40&gt;0,P40=0),"NO RESP","OK"))</f>
        <v>OK</v>
      </c>
      <c r="S40" s="113" t="n">
        <f aca="false">SUMPRODUCT((Turni!$R$5:$R$27&lt;=$A40)*(Turni!$S$5:$S$27&gt;$A40))</f>
        <v>5</v>
      </c>
      <c r="T40" s="113" t="n">
        <f aca="false">SUMPRODUCT((Turni!$R$5:$R$27&lt;=$A40)*(Turni!$S$5:$S$27&gt;$A40)*(Turni!$B$5:$B$27="RESP"))</f>
        <v>2</v>
      </c>
      <c r="U40" s="131" t="n">
        <f aca="false">IF($A40&lt;Parametri!F$63,0,MAX(Parametri!$B$66,IF(AND($A40&gt;=8/24,$A40&lt;21/24),INDEX(Casse!F$6:F$18,INT($A40*24)-7)+Parametri!$B$17,0)+INT((OreRichieste!F$17-Casse!F$19-Casse!F$25)*$B40/SUMIFS($B$6:$B$68,$A$6:$A$68,"&gt;="&amp;Parametri!F$63)/0.25)))</f>
        <v>5</v>
      </c>
      <c r="V40" s="132" t="str">
        <f aca="false">IF(S40&lt;U40,"KO",IF(AND(S40&gt;0,T40=0),"NO RESP","OK"))</f>
        <v>OK</v>
      </c>
      <c r="W40" s="113" t="n">
        <f aca="false">SUMPRODUCT((Turni!$U$5:$U$27&lt;=$A40)*(Turni!$V$5:$V$27&gt;$A40))</f>
        <v>5</v>
      </c>
      <c r="X40" s="113" t="n">
        <f aca="false">SUMPRODUCT((Turni!$U$5:$U$27&lt;=$A40)*(Turni!$V$5:$V$27&gt;$A40)*(Turni!$B$5:$B$27="RESP"))</f>
        <v>1</v>
      </c>
      <c r="Y40" s="131" t="n">
        <f aca="false">IF($A40&lt;Parametri!G$63,0,MAX(Parametri!$B$66,IF(AND($A40&gt;=8/24,$A40&lt;21/24),INDEX(Casse!G$6:G$18,INT($A40*24)-7)+Parametri!$B$17,0)+INT((OreRichieste!G$17-Casse!G$19-Casse!G$25)*$B40/SUMIFS($B$6:$B$68,$A$6:$A$68,"&gt;="&amp;Parametri!G$63)/0.25)))</f>
        <v>5</v>
      </c>
      <c r="Z40" s="132" t="str">
        <f aca="false">IF(W40&lt;Y40,"KO",IF(AND(W40&gt;0,X40=0),"NO RESP","OK"))</f>
        <v>OK</v>
      </c>
      <c r="AA40" s="113" t="n">
        <f aca="false">SUMPRODUCT((Turni!$X$5:$X$27&lt;=$A40)*(Turni!$Y$5:$Y$27&gt;$A40))</f>
        <v>4</v>
      </c>
      <c r="AB40" s="113" t="n">
        <f aca="false">SUMPRODUCT((Turni!$X$5:$X$27&lt;=$A40)*(Turni!$Y$5:$Y$27&gt;$A40)*(Turni!$B$5:$B$27="RESP"))</f>
        <v>1</v>
      </c>
      <c r="AC40" s="131" t="n">
        <f aca="false">IF($A40&lt;Parametri!H$63,0,MAX(Parametri!$B$66,IF(AND($A40&gt;=8/24,$A40&lt;21/24),INDEX(Casse!H$6:H$18,INT($A40*24)-7)+Parametri!$B$17,0)+INT((OreRichieste!H$17-Casse!H$19-Casse!H$25)*$B40/SUMIFS($B$6:$B$68,$A$6:$A$68,"&gt;="&amp;Parametri!H$63)/0.25)))</f>
        <v>4</v>
      </c>
      <c r="AD40" s="132" t="str">
        <f aca="false">IF(AA40&lt;AC40,"KO",IF(AND(AA40&gt;0,AB40=0),"NO RESP","OK"))</f>
        <v>OK</v>
      </c>
      <c r="AE40" s="133" t="s">
        <v>198</v>
      </c>
    </row>
    <row r="41" customFormat="false" ht="15" hidden="false" customHeight="true" outlineLevel="0" collapsed="false">
      <c r="A41" s="129" t="n">
        <v>0.59375</v>
      </c>
      <c r="B41" s="130" t="n">
        <v>0.95</v>
      </c>
      <c r="C41" s="113" t="n">
        <f aca="false">SUMPRODUCT((Turni!$F$5:$F$27&lt;=$A41)*(Turni!$G$5:$G$27&gt;$A41))</f>
        <v>6</v>
      </c>
      <c r="D41" s="113" t="n">
        <f aca="false">SUMPRODUCT((Turni!$F$5:$F$27&lt;=$A41)*(Turni!$G$5:$G$27&gt;$A41)*(Turni!$B$5:$B$27="RESP"))</f>
        <v>2</v>
      </c>
      <c r="E41" s="131" t="n">
        <f aca="false">IF($A41&lt;Parametri!B$63,0,MAX(Parametri!$B$66,IF(AND($A41&gt;=8/24,$A41&lt;21/24),INDEX(Casse!B$6:B$18,INT($A41*24)-7)+Parametri!$B$17,0)+INT((OreRichieste!B$17-Casse!B$19-Casse!B$25)*$B41/SUMIFS($B$6:$B$68,$A$6:$A$68,"&gt;="&amp;Parametri!B$63)/0.25)))</f>
        <v>5</v>
      </c>
      <c r="F41" s="132" t="str">
        <f aca="false">IF(C41&lt;E41,"KO",IF(AND(C41&gt;0,D41=0),"NO RESP","OK"))</f>
        <v>OK</v>
      </c>
      <c r="G41" s="113" t="n">
        <f aca="false">SUMPRODUCT((Turni!$I$5:$I$27&lt;=$A41)*(Turni!$J$5:$J$27&gt;$A41))</f>
        <v>4</v>
      </c>
      <c r="H41" s="113" t="n">
        <f aca="false">SUMPRODUCT((Turni!$I$5:$I$27&lt;=$A41)*(Turni!$J$5:$J$27&gt;$A41)*(Turni!$B$5:$B$27="RESP"))</f>
        <v>1</v>
      </c>
      <c r="I41" s="131" t="n">
        <f aca="false">IF($A41&lt;Parametri!C$63,0,MAX(Parametri!$B$66,IF(AND($A41&gt;=8/24,$A41&lt;21/24),INDEX(Casse!C$6:C$18,INT($A41*24)-7)+Parametri!$B$17,0)+INT((OreRichieste!C$17-Casse!C$19-Casse!C$25)*$B41/SUMIFS($B$6:$B$68,$A$6:$A$68,"&gt;="&amp;Parametri!C$63)/0.25)))</f>
        <v>4</v>
      </c>
      <c r="J41" s="132" t="str">
        <f aca="false">IF(G41&lt;I41,"KO",IF(AND(G41&gt;0,H41=0),"NO RESP","OK"))</f>
        <v>OK</v>
      </c>
      <c r="K41" s="113" t="n">
        <f aca="false">SUMPRODUCT((Turni!$L$5:$L$27&lt;=$A41)*(Turni!$M$5:$M$27&gt;$A41))</f>
        <v>4</v>
      </c>
      <c r="L41" s="113" t="n">
        <f aca="false">SUMPRODUCT((Turni!$L$5:$L$27&lt;=$A41)*(Turni!$M$5:$M$27&gt;$A41)*(Turni!$B$5:$B$27="RESP"))</f>
        <v>1</v>
      </c>
      <c r="M41" s="131" t="n">
        <f aca="false">IF($A41&lt;Parametri!D$63,0,MAX(Parametri!$B$66,IF(AND($A41&gt;=8/24,$A41&lt;21/24),INDEX(Casse!D$6:D$18,INT($A41*24)-7)+Parametri!$B$17,0)+INT((OreRichieste!D$17-Casse!D$19-Casse!D$25)*$B41/SUMIFS($B$6:$B$68,$A$6:$A$68,"&gt;="&amp;Parametri!D$63)/0.25)))</f>
        <v>4</v>
      </c>
      <c r="N41" s="132" t="str">
        <f aca="false">IF(K41&lt;M41,"KO",IF(AND(K41&gt;0,L41=0),"NO RESP","OK"))</f>
        <v>OK</v>
      </c>
      <c r="O41" s="113" t="n">
        <f aca="false">SUMPRODUCT((Turni!$O$5:$O$27&lt;=$A41)*(Turni!$P$5:$P$27&gt;$A41))</f>
        <v>5</v>
      </c>
      <c r="P41" s="113" t="n">
        <f aca="false">SUMPRODUCT((Turni!$O$5:$O$27&lt;=$A41)*(Turni!$P$5:$P$27&gt;$A41)*(Turni!$B$5:$B$27="RESP"))</f>
        <v>1</v>
      </c>
      <c r="Q41" s="131" t="n">
        <f aca="false">IF($A41&lt;Parametri!E$63,0,MAX(Parametri!$B$66,IF(AND($A41&gt;=8/24,$A41&lt;21/24),INDEX(Casse!E$6:E$18,INT($A41*24)-7)+Parametri!$B$17,0)+INT((OreRichieste!E$17-Casse!E$19-Casse!E$25)*$B41/SUMIFS($B$6:$B$68,$A$6:$A$68,"&gt;="&amp;Parametri!E$63)/0.25)))</f>
        <v>5</v>
      </c>
      <c r="R41" s="132" t="str">
        <f aca="false">IF(O41&lt;Q41,"KO",IF(AND(O41&gt;0,P41=0),"NO RESP","OK"))</f>
        <v>OK</v>
      </c>
      <c r="S41" s="113" t="n">
        <f aca="false">SUMPRODUCT((Turni!$R$5:$R$27&lt;=$A41)*(Turni!$S$5:$S$27&gt;$A41))</f>
        <v>5</v>
      </c>
      <c r="T41" s="113" t="n">
        <f aca="false">SUMPRODUCT((Turni!$R$5:$R$27&lt;=$A41)*(Turni!$S$5:$S$27&gt;$A41)*(Turni!$B$5:$B$27="RESP"))</f>
        <v>2</v>
      </c>
      <c r="U41" s="131" t="n">
        <f aca="false">IF($A41&lt;Parametri!F$63,0,MAX(Parametri!$B$66,IF(AND($A41&gt;=8/24,$A41&lt;21/24),INDEX(Casse!F$6:F$18,INT($A41*24)-7)+Parametri!$B$17,0)+INT((OreRichieste!F$17-Casse!F$19-Casse!F$25)*$B41/SUMIFS($B$6:$B$68,$A$6:$A$68,"&gt;="&amp;Parametri!F$63)/0.25)))</f>
        <v>5</v>
      </c>
      <c r="V41" s="132" t="str">
        <f aca="false">IF(S41&lt;U41,"KO",IF(AND(S41&gt;0,T41=0),"NO RESP","OK"))</f>
        <v>OK</v>
      </c>
      <c r="W41" s="113" t="n">
        <f aca="false">SUMPRODUCT((Turni!$U$5:$U$27&lt;=$A41)*(Turni!$V$5:$V$27&gt;$A41))</f>
        <v>5</v>
      </c>
      <c r="X41" s="113" t="n">
        <f aca="false">SUMPRODUCT((Turni!$U$5:$U$27&lt;=$A41)*(Turni!$V$5:$V$27&gt;$A41)*(Turni!$B$5:$B$27="RESP"))</f>
        <v>1</v>
      </c>
      <c r="Y41" s="131" t="n">
        <f aca="false">IF($A41&lt;Parametri!G$63,0,MAX(Parametri!$B$66,IF(AND($A41&gt;=8/24,$A41&lt;21/24),INDEX(Casse!G$6:G$18,INT($A41*24)-7)+Parametri!$B$17,0)+INT((OreRichieste!G$17-Casse!G$19-Casse!G$25)*$B41/SUMIFS($B$6:$B$68,$A$6:$A$68,"&gt;="&amp;Parametri!G$63)/0.25)))</f>
        <v>5</v>
      </c>
      <c r="Z41" s="132" t="str">
        <f aca="false">IF(W41&lt;Y41,"KO",IF(AND(W41&gt;0,X41=0),"NO RESP","OK"))</f>
        <v>OK</v>
      </c>
      <c r="AA41" s="113" t="n">
        <f aca="false">SUMPRODUCT((Turni!$X$5:$X$27&lt;=$A41)*(Turni!$Y$5:$Y$27&gt;$A41))</f>
        <v>5</v>
      </c>
      <c r="AB41" s="113" t="n">
        <f aca="false">SUMPRODUCT((Turni!$X$5:$X$27&lt;=$A41)*(Turni!$Y$5:$Y$27&gt;$A41)*(Turni!$B$5:$B$27="RESP"))</f>
        <v>2</v>
      </c>
      <c r="AC41" s="131" t="n">
        <f aca="false">IF($A41&lt;Parametri!H$63,0,MAX(Parametri!$B$66,IF(AND($A41&gt;=8/24,$A41&lt;21/24),INDEX(Casse!H$6:H$18,INT($A41*24)-7)+Parametri!$B$17,0)+INT((OreRichieste!H$17-Casse!H$19-Casse!H$25)*$B41/SUMIFS($B$6:$B$68,$A$6:$A$68,"&gt;="&amp;Parametri!H$63)/0.25)))</f>
        <v>4</v>
      </c>
      <c r="AD41" s="132" t="str">
        <f aca="false">IF(AA41&lt;AC41,"KO",IF(AND(AA41&gt;0,AB41=0),"NO RESP","OK"))</f>
        <v>OK</v>
      </c>
      <c r="AE41" s="133" t="s">
        <v>199</v>
      </c>
    </row>
    <row r="42" customFormat="false" ht="15" hidden="false" customHeight="true" outlineLevel="0" collapsed="false">
      <c r="A42" s="129" t="n">
        <v>0.604166666666667</v>
      </c>
      <c r="B42" s="130" t="n">
        <v>0.95</v>
      </c>
      <c r="C42" s="113" t="n">
        <f aca="false">SUMPRODUCT((Turni!$F$5:$F$27&lt;=$A42)*(Turni!$G$5:$G$27&gt;$A42))</f>
        <v>6</v>
      </c>
      <c r="D42" s="113" t="n">
        <f aca="false">SUMPRODUCT((Turni!$F$5:$F$27&lt;=$A42)*(Turni!$G$5:$G$27&gt;$A42)*(Turni!$B$5:$B$27="RESP"))</f>
        <v>2</v>
      </c>
      <c r="E42" s="131" t="n">
        <f aca="false">IF($A42&lt;Parametri!B$63,0,MAX(Parametri!$B$66,IF(AND($A42&gt;=8/24,$A42&lt;21/24),INDEX(Casse!B$6:B$18,INT($A42*24)-7)+Parametri!$B$17,0)+INT((OreRichieste!B$17-Casse!B$19-Casse!B$25)*$B42/SUMIFS($B$6:$B$68,$A$6:$A$68,"&gt;="&amp;Parametri!B$63)/0.25)))</f>
        <v>5</v>
      </c>
      <c r="F42" s="132" t="str">
        <f aca="false">IF(C42&lt;E42,"KO",IF(AND(C42&gt;0,D42=0),"NO RESP","OK"))</f>
        <v>OK</v>
      </c>
      <c r="G42" s="113" t="n">
        <f aca="false">SUMPRODUCT((Turni!$I$5:$I$27&lt;=$A42)*(Turni!$J$5:$J$27&gt;$A42))</f>
        <v>4</v>
      </c>
      <c r="H42" s="113" t="n">
        <f aca="false">SUMPRODUCT((Turni!$I$5:$I$27&lt;=$A42)*(Turni!$J$5:$J$27&gt;$A42)*(Turni!$B$5:$B$27="RESP"))</f>
        <v>1</v>
      </c>
      <c r="I42" s="131" t="n">
        <f aca="false">IF($A42&lt;Parametri!C$63,0,MAX(Parametri!$B$66,IF(AND($A42&gt;=8/24,$A42&lt;21/24),INDEX(Casse!C$6:C$18,INT($A42*24)-7)+Parametri!$B$17,0)+INT((OreRichieste!C$17-Casse!C$19-Casse!C$25)*$B42/SUMIFS($B$6:$B$68,$A$6:$A$68,"&gt;="&amp;Parametri!C$63)/0.25)))</f>
        <v>4</v>
      </c>
      <c r="J42" s="132" t="str">
        <f aca="false">IF(G42&lt;I42,"KO",IF(AND(G42&gt;0,H42=0),"NO RESP","OK"))</f>
        <v>OK</v>
      </c>
      <c r="K42" s="113" t="n">
        <f aca="false">SUMPRODUCT((Turni!$L$5:$L$27&lt;=$A42)*(Turni!$M$5:$M$27&gt;$A42))</f>
        <v>4</v>
      </c>
      <c r="L42" s="113" t="n">
        <f aca="false">SUMPRODUCT((Turni!$L$5:$L$27&lt;=$A42)*(Turni!$M$5:$M$27&gt;$A42)*(Turni!$B$5:$B$27="RESP"))</f>
        <v>1</v>
      </c>
      <c r="M42" s="131" t="n">
        <f aca="false">IF($A42&lt;Parametri!D$63,0,MAX(Parametri!$B$66,IF(AND($A42&gt;=8/24,$A42&lt;21/24),INDEX(Casse!D$6:D$18,INT($A42*24)-7)+Parametri!$B$17,0)+INT((OreRichieste!D$17-Casse!D$19-Casse!D$25)*$B42/SUMIFS($B$6:$B$68,$A$6:$A$68,"&gt;="&amp;Parametri!D$63)/0.25)))</f>
        <v>4</v>
      </c>
      <c r="N42" s="132" t="str">
        <f aca="false">IF(K42&lt;M42,"KO",IF(AND(K42&gt;0,L42=0),"NO RESP","OK"))</f>
        <v>OK</v>
      </c>
      <c r="O42" s="113" t="n">
        <f aca="false">SUMPRODUCT((Turni!$O$5:$O$27&lt;=$A42)*(Turni!$P$5:$P$27&gt;$A42))</f>
        <v>5</v>
      </c>
      <c r="P42" s="113" t="n">
        <f aca="false">SUMPRODUCT((Turni!$O$5:$O$27&lt;=$A42)*(Turni!$P$5:$P$27&gt;$A42)*(Turni!$B$5:$B$27="RESP"))</f>
        <v>1</v>
      </c>
      <c r="Q42" s="131" t="n">
        <f aca="false">IF($A42&lt;Parametri!E$63,0,MAX(Parametri!$B$66,IF(AND($A42&gt;=8/24,$A42&lt;21/24),INDEX(Casse!E$6:E$18,INT($A42*24)-7)+Parametri!$B$17,0)+INT((OreRichieste!E$17-Casse!E$19-Casse!E$25)*$B42/SUMIFS($B$6:$B$68,$A$6:$A$68,"&gt;="&amp;Parametri!E$63)/0.25)))</f>
        <v>5</v>
      </c>
      <c r="R42" s="132" t="str">
        <f aca="false">IF(O42&lt;Q42,"KO",IF(AND(O42&gt;0,P42=0),"NO RESP","OK"))</f>
        <v>OK</v>
      </c>
      <c r="S42" s="113" t="n">
        <f aca="false">SUMPRODUCT((Turni!$R$5:$R$27&lt;=$A42)*(Turni!$S$5:$S$27&gt;$A42))</f>
        <v>5</v>
      </c>
      <c r="T42" s="113" t="n">
        <f aca="false">SUMPRODUCT((Turni!$R$5:$R$27&lt;=$A42)*(Turni!$S$5:$S$27&gt;$A42)*(Turni!$B$5:$B$27="RESP"))</f>
        <v>2</v>
      </c>
      <c r="U42" s="131" t="n">
        <f aca="false">IF($A42&lt;Parametri!F$63,0,MAX(Parametri!$B$66,IF(AND($A42&gt;=8/24,$A42&lt;21/24),INDEX(Casse!F$6:F$18,INT($A42*24)-7)+Parametri!$B$17,0)+INT((OreRichieste!F$17-Casse!F$19-Casse!F$25)*$B42/SUMIFS($B$6:$B$68,$A$6:$A$68,"&gt;="&amp;Parametri!F$63)/0.25)))</f>
        <v>5</v>
      </c>
      <c r="V42" s="132" t="str">
        <f aca="false">IF(S42&lt;U42,"KO",IF(AND(S42&gt;0,T42=0),"NO RESP","OK"))</f>
        <v>OK</v>
      </c>
      <c r="W42" s="113" t="n">
        <f aca="false">SUMPRODUCT((Turni!$U$5:$U$27&lt;=$A42)*(Turni!$V$5:$V$27&gt;$A42))</f>
        <v>5</v>
      </c>
      <c r="X42" s="113" t="n">
        <f aca="false">SUMPRODUCT((Turni!$U$5:$U$27&lt;=$A42)*(Turni!$V$5:$V$27&gt;$A42)*(Turni!$B$5:$B$27="RESP"))</f>
        <v>1</v>
      </c>
      <c r="Y42" s="131" t="n">
        <f aca="false">IF($A42&lt;Parametri!G$63,0,MAX(Parametri!$B$66,IF(AND($A42&gt;=8/24,$A42&lt;21/24),INDEX(Casse!G$6:G$18,INT($A42*24)-7)+Parametri!$B$17,0)+INT((OreRichieste!G$17-Casse!G$19-Casse!G$25)*$B42/SUMIFS($B$6:$B$68,$A$6:$A$68,"&gt;="&amp;Parametri!G$63)/0.25)))</f>
        <v>5</v>
      </c>
      <c r="Z42" s="132" t="str">
        <f aca="false">IF(W42&lt;Y42,"KO",IF(AND(W42&gt;0,X42=0),"NO RESP","OK"))</f>
        <v>OK</v>
      </c>
      <c r="AA42" s="113" t="n">
        <f aca="false">SUMPRODUCT((Turni!$X$5:$X$27&lt;=$A42)*(Turni!$Y$5:$Y$27&gt;$A42))</f>
        <v>4</v>
      </c>
      <c r="AB42" s="113" t="n">
        <f aca="false">SUMPRODUCT((Turni!$X$5:$X$27&lt;=$A42)*(Turni!$Y$5:$Y$27&gt;$A42)*(Turni!$B$5:$B$27="RESP"))</f>
        <v>2</v>
      </c>
      <c r="AC42" s="131" t="n">
        <f aca="false">IF($A42&lt;Parametri!H$63,0,MAX(Parametri!$B$66,IF(AND($A42&gt;=8/24,$A42&lt;21/24),INDEX(Casse!H$6:H$18,INT($A42*24)-7)+Parametri!$B$17,0)+INT((OreRichieste!H$17-Casse!H$19-Casse!H$25)*$B42/SUMIFS($B$6:$B$68,$A$6:$A$68,"&gt;="&amp;Parametri!H$63)/0.25)))</f>
        <v>4</v>
      </c>
      <c r="AD42" s="132" t="str">
        <f aca="false">IF(AA42&lt;AC42,"KO",IF(AND(AA42&gt;0,AB42=0),"NO RESP","OK"))</f>
        <v>OK</v>
      </c>
      <c r="AE42" s="133" t="s">
        <v>200</v>
      </c>
    </row>
    <row r="43" customFormat="false" ht="15" hidden="false" customHeight="true" outlineLevel="0" collapsed="false">
      <c r="A43" s="129" t="n">
        <v>0.614583333333333</v>
      </c>
      <c r="B43" s="130" t="n">
        <v>0.95</v>
      </c>
      <c r="C43" s="113" t="n">
        <f aca="false">SUMPRODUCT((Turni!$F$5:$F$27&lt;=$A43)*(Turni!$G$5:$G$27&gt;$A43))</f>
        <v>6</v>
      </c>
      <c r="D43" s="113" t="n">
        <f aca="false">SUMPRODUCT((Turni!$F$5:$F$27&lt;=$A43)*(Turni!$G$5:$G$27&gt;$A43)*(Turni!$B$5:$B$27="RESP"))</f>
        <v>2</v>
      </c>
      <c r="E43" s="131" t="n">
        <f aca="false">IF($A43&lt;Parametri!B$63,0,MAX(Parametri!$B$66,IF(AND($A43&gt;=8/24,$A43&lt;21/24),INDEX(Casse!B$6:B$18,INT($A43*24)-7)+Parametri!$B$17,0)+INT((OreRichieste!B$17-Casse!B$19-Casse!B$25)*$B43/SUMIFS($B$6:$B$68,$A$6:$A$68,"&gt;="&amp;Parametri!B$63)/0.25)))</f>
        <v>5</v>
      </c>
      <c r="F43" s="132" t="str">
        <f aca="false">IF(C43&lt;E43,"KO",IF(AND(C43&gt;0,D43=0),"NO RESP","OK"))</f>
        <v>OK</v>
      </c>
      <c r="G43" s="113" t="n">
        <f aca="false">SUMPRODUCT((Turni!$I$5:$I$27&lt;=$A43)*(Turni!$J$5:$J$27&gt;$A43))</f>
        <v>5</v>
      </c>
      <c r="H43" s="113" t="n">
        <f aca="false">SUMPRODUCT((Turni!$I$5:$I$27&lt;=$A43)*(Turni!$J$5:$J$27&gt;$A43)*(Turni!$B$5:$B$27="RESP"))</f>
        <v>1</v>
      </c>
      <c r="I43" s="131" t="n">
        <f aca="false">IF($A43&lt;Parametri!C$63,0,MAX(Parametri!$B$66,IF(AND($A43&gt;=8/24,$A43&lt;21/24),INDEX(Casse!C$6:C$18,INT($A43*24)-7)+Parametri!$B$17,0)+INT((OreRichieste!C$17-Casse!C$19-Casse!C$25)*$B43/SUMIFS($B$6:$B$68,$A$6:$A$68,"&gt;="&amp;Parametri!C$63)/0.25)))</f>
        <v>4</v>
      </c>
      <c r="J43" s="132" t="str">
        <f aca="false">IF(G43&lt;I43,"KO",IF(AND(G43&gt;0,H43=0),"NO RESP","OK"))</f>
        <v>OK</v>
      </c>
      <c r="K43" s="113" t="n">
        <f aca="false">SUMPRODUCT((Turni!$L$5:$L$27&lt;=$A43)*(Turni!$M$5:$M$27&gt;$A43))</f>
        <v>5</v>
      </c>
      <c r="L43" s="113" t="n">
        <f aca="false">SUMPRODUCT((Turni!$L$5:$L$27&lt;=$A43)*(Turni!$M$5:$M$27&gt;$A43)*(Turni!$B$5:$B$27="RESP"))</f>
        <v>1</v>
      </c>
      <c r="M43" s="131" t="n">
        <f aca="false">IF($A43&lt;Parametri!D$63,0,MAX(Parametri!$B$66,IF(AND($A43&gt;=8/24,$A43&lt;21/24),INDEX(Casse!D$6:D$18,INT($A43*24)-7)+Parametri!$B$17,0)+INT((OreRichieste!D$17-Casse!D$19-Casse!D$25)*$B43/SUMIFS($B$6:$B$68,$A$6:$A$68,"&gt;="&amp;Parametri!D$63)/0.25)))</f>
        <v>4</v>
      </c>
      <c r="N43" s="132" t="str">
        <f aca="false">IF(K43&lt;M43,"KO",IF(AND(K43&gt;0,L43=0),"NO RESP","OK"))</f>
        <v>OK</v>
      </c>
      <c r="O43" s="113" t="n">
        <f aca="false">SUMPRODUCT((Turni!$O$5:$O$27&lt;=$A43)*(Turni!$P$5:$P$27&gt;$A43))</f>
        <v>6</v>
      </c>
      <c r="P43" s="113" t="n">
        <f aca="false">SUMPRODUCT((Turni!$O$5:$O$27&lt;=$A43)*(Turni!$P$5:$P$27&gt;$A43)*(Turni!$B$5:$B$27="RESP"))</f>
        <v>2</v>
      </c>
      <c r="Q43" s="131" t="n">
        <f aca="false">IF($A43&lt;Parametri!E$63,0,MAX(Parametri!$B$66,IF(AND($A43&gt;=8/24,$A43&lt;21/24),INDEX(Casse!E$6:E$18,INT($A43*24)-7)+Parametri!$B$17,0)+INT((OreRichieste!E$17-Casse!E$19-Casse!E$25)*$B43/SUMIFS($B$6:$B$68,$A$6:$A$68,"&gt;="&amp;Parametri!E$63)/0.25)))</f>
        <v>5</v>
      </c>
      <c r="R43" s="132" t="str">
        <f aca="false">IF(O43&lt;Q43,"KO",IF(AND(O43&gt;0,P43=0),"NO RESP","OK"))</f>
        <v>OK</v>
      </c>
      <c r="S43" s="113" t="n">
        <f aca="false">SUMPRODUCT((Turni!$R$5:$R$27&lt;=$A43)*(Turni!$S$5:$S$27&gt;$A43))</f>
        <v>5</v>
      </c>
      <c r="T43" s="113" t="n">
        <f aca="false">SUMPRODUCT((Turni!$R$5:$R$27&lt;=$A43)*(Turni!$S$5:$S$27&gt;$A43)*(Turni!$B$5:$B$27="RESP"))</f>
        <v>2</v>
      </c>
      <c r="U43" s="131" t="n">
        <f aca="false">IF($A43&lt;Parametri!F$63,0,MAX(Parametri!$B$66,IF(AND($A43&gt;=8/24,$A43&lt;21/24),INDEX(Casse!F$6:F$18,INT($A43*24)-7)+Parametri!$B$17,0)+INT((OreRichieste!F$17-Casse!F$19-Casse!F$25)*$B43/SUMIFS($B$6:$B$68,$A$6:$A$68,"&gt;="&amp;Parametri!F$63)/0.25)))</f>
        <v>5</v>
      </c>
      <c r="V43" s="132" t="str">
        <f aca="false">IF(S43&lt;U43,"KO",IF(AND(S43&gt;0,T43=0),"NO RESP","OK"))</f>
        <v>OK</v>
      </c>
      <c r="W43" s="113" t="n">
        <f aca="false">SUMPRODUCT((Turni!$U$5:$U$27&lt;=$A43)*(Turni!$V$5:$V$27&gt;$A43))</f>
        <v>5</v>
      </c>
      <c r="X43" s="113" t="n">
        <f aca="false">SUMPRODUCT((Turni!$U$5:$U$27&lt;=$A43)*(Turni!$V$5:$V$27&gt;$A43)*(Turni!$B$5:$B$27="RESP"))</f>
        <v>1</v>
      </c>
      <c r="Y43" s="131" t="n">
        <f aca="false">IF($A43&lt;Parametri!G$63,0,MAX(Parametri!$B$66,IF(AND($A43&gt;=8/24,$A43&lt;21/24),INDEX(Casse!G$6:G$18,INT($A43*24)-7)+Parametri!$B$17,0)+INT((OreRichieste!G$17-Casse!G$19-Casse!G$25)*$B43/SUMIFS($B$6:$B$68,$A$6:$A$68,"&gt;="&amp;Parametri!G$63)/0.25)))</f>
        <v>5</v>
      </c>
      <c r="Z43" s="132" t="str">
        <f aca="false">IF(W43&lt;Y43,"KO",IF(AND(W43&gt;0,X43=0),"NO RESP","OK"))</f>
        <v>OK</v>
      </c>
      <c r="AA43" s="113" t="n">
        <f aca="false">SUMPRODUCT((Turni!$X$5:$X$27&lt;=$A43)*(Turni!$Y$5:$Y$27&gt;$A43))</f>
        <v>5</v>
      </c>
      <c r="AB43" s="113" t="n">
        <f aca="false">SUMPRODUCT((Turni!$X$5:$X$27&lt;=$A43)*(Turni!$Y$5:$Y$27&gt;$A43)*(Turni!$B$5:$B$27="RESP"))</f>
        <v>2</v>
      </c>
      <c r="AC43" s="131" t="n">
        <f aca="false">IF($A43&lt;Parametri!H$63,0,MAX(Parametri!$B$66,IF(AND($A43&gt;=8/24,$A43&lt;21/24),INDEX(Casse!H$6:H$18,INT($A43*24)-7)+Parametri!$B$17,0)+INT((OreRichieste!H$17-Casse!H$19-Casse!H$25)*$B43/SUMIFS($B$6:$B$68,$A$6:$A$68,"&gt;="&amp;Parametri!H$63)/0.25)))</f>
        <v>4</v>
      </c>
      <c r="AD43" s="132" t="str">
        <f aca="false">IF(AA43&lt;AC43,"KO",IF(AND(AA43&gt;0,AB43=0),"NO RESP","OK"))</f>
        <v>OK</v>
      </c>
      <c r="AE43" s="133" t="s">
        <v>201</v>
      </c>
    </row>
    <row r="44" customFormat="false" ht="15" hidden="false" customHeight="true" outlineLevel="0" collapsed="false">
      <c r="A44" s="129" t="n">
        <v>0.625</v>
      </c>
      <c r="B44" s="130" t="n">
        <v>1.05</v>
      </c>
      <c r="C44" s="113" t="n">
        <f aca="false">SUMPRODUCT((Turni!$F$5:$F$27&lt;=$A44)*(Turni!$G$5:$G$27&gt;$A44))</f>
        <v>5</v>
      </c>
      <c r="D44" s="113" t="n">
        <f aca="false">SUMPRODUCT((Turni!$F$5:$F$27&lt;=$A44)*(Turni!$G$5:$G$27&gt;$A44)*(Turni!$B$5:$B$27="RESP"))</f>
        <v>2</v>
      </c>
      <c r="E44" s="131" t="n">
        <f aca="false">IF($A44&lt;Parametri!B$63,0,MAX(Parametri!$B$66,IF(AND($A44&gt;=8/24,$A44&lt;21/24),INDEX(Casse!B$6:B$18,INT($A44*24)-7)+Parametri!$B$17,0)+INT((OreRichieste!B$17-Casse!B$19-Casse!B$25)*$B44/SUMIFS($B$6:$B$68,$A$6:$A$68,"&gt;="&amp;Parametri!B$63)/0.25)))</f>
        <v>5</v>
      </c>
      <c r="F44" s="132" t="str">
        <f aca="false">IF(C44&lt;E44,"KO",IF(AND(C44&gt;0,D44=0),"NO RESP","OK"))</f>
        <v>OK</v>
      </c>
      <c r="G44" s="113" t="n">
        <f aca="false">SUMPRODUCT((Turni!$I$5:$I$27&lt;=$A44)*(Turni!$J$5:$J$27&gt;$A44))</f>
        <v>4</v>
      </c>
      <c r="H44" s="113" t="n">
        <f aca="false">SUMPRODUCT((Turni!$I$5:$I$27&lt;=$A44)*(Turni!$J$5:$J$27&gt;$A44)*(Turni!$B$5:$B$27="RESP"))</f>
        <v>1</v>
      </c>
      <c r="I44" s="131" t="n">
        <f aca="false">IF($A44&lt;Parametri!C$63,0,MAX(Parametri!$B$66,IF(AND($A44&gt;=8/24,$A44&lt;21/24),INDEX(Casse!C$6:C$18,INT($A44*24)-7)+Parametri!$B$17,0)+INT((OreRichieste!C$17-Casse!C$19-Casse!C$25)*$B44/SUMIFS($B$6:$B$68,$A$6:$A$68,"&gt;="&amp;Parametri!C$63)/0.25)))</f>
        <v>5</v>
      </c>
      <c r="J44" s="132" t="str">
        <f aca="false">IF(G44&lt;I44,"KO",IF(AND(G44&gt;0,H44=0),"NO RESP","OK"))</f>
        <v>KO</v>
      </c>
      <c r="K44" s="113" t="n">
        <f aca="false">SUMPRODUCT((Turni!$L$5:$L$27&lt;=$A44)*(Turni!$M$5:$M$27&gt;$A44))</f>
        <v>5</v>
      </c>
      <c r="L44" s="113" t="n">
        <f aca="false">SUMPRODUCT((Turni!$L$5:$L$27&lt;=$A44)*(Turni!$M$5:$M$27&gt;$A44)*(Turni!$B$5:$B$27="RESP"))</f>
        <v>1</v>
      </c>
      <c r="M44" s="131" t="n">
        <f aca="false">IF($A44&lt;Parametri!D$63,0,MAX(Parametri!$B$66,IF(AND($A44&gt;=8/24,$A44&lt;21/24),INDEX(Casse!D$6:D$18,INT($A44*24)-7)+Parametri!$B$17,0)+INT((OreRichieste!D$17-Casse!D$19-Casse!D$25)*$B44/SUMIFS($B$6:$B$68,$A$6:$A$68,"&gt;="&amp;Parametri!D$63)/0.25)))</f>
        <v>5</v>
      </c>
      <c r="N44" s="132" t="str">
        <f aca="false">IF(K44&lt;M44,"KO",IF(AND(K44&gt;0,L44=0),"NO RESP","OK"))</f>
        <v>OK</v>
      </c>
      <c r="O44" s="113" t="n">
        <f aca="false">SUMPRODUCT((Turni!$O$5:$O$27&lt;=$A44)*(Turni!$P$5:$P$27&gt;$A44))</f>
        <v>5</v>
      </c>
      <c r="P44" s="113" t="n">
        <f aca="false">SUMPRODUCT((Turni!$O$5:$O$27&lt;=$A44)*(Turni!$P$5:$P$27&gt;$A44)*(Turni!$B$5:$B$27="RESP"))</f>
        <v>1</v>
      </c>
      <c r="Q44" s="131" t="n">
        <f aca="false">IF($A44&lt;Parametri!E$63,0,MAX(Parametri!$B$66,IF(AND($A44&gt;=8/24,$A44&lt;21/24),INDEX(Casse!E$6:E$18,INT($A44*24)-7)+Parametri!$B$17,0)+INT((OreRichieste!E$17-Casse!E$19-Casse!E$25)*$B44/SUMIFS($B$6:$B$68,$A$6:$A$68,"&gt;="&amp;Parametri!E$63)/0.25)))</f>
        <v>5</v>
      </c>
      <c r="R44" s="132" t="str">
        <f aca="false">IF(O44&lt;Q44,"KO",IF(AND(O44&gt;0,P44=0),"NO RESP","OK"))</f>
        <v>OK</v>
      </c>
      <c r="S44" s="113" t="n">
        <f aca="false">SUMPRODUCT((Turni!$R$5:$R$27&lt;=$A44)*(Turni!$S$5:$S$27&gt;$A44))</f>
        <v>5</v>
      </c>
      <c r="T44" s="113" t="n">
        <f aca="false">SUMPRODUCT((Turni!$R$5:$R$27&lt;=$A44)*(Turni!$S$5:$S$27&gt;$A44)*(Turni!$B$5:$B$27="RESP"))</f>
        <v>2</v>
      </c>
      <c r="U44" s="131" t="n">
        <f aca="false">IF($A44&lt;Parametri!F$63,0,MAX(Parametri!$B$66,IF(AND($A44&gt;=8/24,$A44&lt;21/24),INDEX(Casse!F$6:F$18,INT($A44*24)-7)+Parametri!$B$17,0)+INT((OreRichieste!F$17-Casse!F$19-Casse!F$25)*$B44/SUMIFS($B$6:$B$68,$A$6:$A$68,"&gt;="&amp;Parametri!F$63)/0.25)))</f>
        <v>5</v>
      </c>
      <c r="V44" s="132" t="str">
        <f aca="false">IF(S44&lt;U44,"KO",IF(AND(S44&gt;0,T44=0),"NO RESP","OK"))</f>
        <v>OK</v>
      </c>
      <c r="W44" s="113" t="n">
        <f aca="false">SUMPRODUCT((Turni!$U$5:$U$27&lt;=$A44)*(Turni!$V$5:$V$27&gt;$A44))</f>
        <v>6</v>
      </c>
      <c r="X44" s="113" t="n">
        <f aca="false">SUMPRODUCT((Turni!$U$5:$U$27&lt;=$A44)*(Turni!$V$5:$V$27&gt;$A44)*(Turni!$B$5:$B$27="RESP"))</f>
        <v>1</v>
      </c>
      <c r="Y44" s="131" t="n">
        <f aca="false">IF($A44&lt;Parametri!G$63,0,MAX(Parametri!$B$66,IF(AND($A44&gt;=8/24,$A44&lt;21/24),INDEX(Casse!G$6:G$18,INT($A44*24)-7)+Parametri!$B$17,0)+INT((OreRichieste!G$17-Casse!G$19-Casse!G$25)*$B44/SUMIFS($B$6:$B$68,$A$6:$A$68,"&gt;="&amp;Parametri!G$63)/0.25)))</f>
        <v>5</v>
      </c>
      <c r="Z44" s="132" t="str">
        <f aca="false">IF(W44&lt;Y44,"KO",IF(AND(W44&gt;0,X44=0),"NO RESP","OK"))</f>
        <v>OK</v>
      </c>
      <c r="AA44" s="113" t="n">
        <f aca="false">SUMPRODUCT((Turni!$X$5:$X$27&lt;=$A44)*(Turni!$Y$5:$Y$27&gt;$A44))</f>
        <v>6</v>
      </c>
      <c r="AB44" s="113" t="n">
        <f aca="false">SUMPRODUCT((Turni!$X$5:$X$27&lt;=$A44)*(Turni!$Y$5:$Y$27&gt;$A44)*(Turni!$B$5:$B$27="RESP"))</f>
        <v>2</v>
      </c>
      <c r="AC44" s="131" t="n">
        <f aca="false">IF($A44&lt;Parametri!H$63,0,MAX(Parametri!$B$66,IF(AND($A44&gt;=8/24,$A44&lt;21/24),INDEX(Casse!H$6:H$18,INT($A44*24)-7)+Parametri!$B$17,0)+INT((OreRichieste!H$17-Casse!H$19-Casse!H$25)*$B44/SUMIFS($B$6:$B$68,$A$6:$A$68,"&gt;="&amp;Parametri!H$63)/0.25)))</f>
        <v>5</v>
      </c>
      <c r="AD44" s="132" t="str">
        <f aca="false">IF(AA44&lt;AC44,"KO",IF(AND(AA44&gt;0,AB44=0),"NO RESP","OK"))</f>
        <v>OK</v>
      </c>
      <c r="AE44" s="133" t="s">
        <v>202</v>
      </c>
    </row>
    <row r="45" customFormat="false" ht="15" hidden="false" customHeight="true" outlineLevel="0" collapsed="false">
      <c r="A45" s="129" t="n">
        <v>0.635416666666667</v>
      </c>
      <c r="B45" s="130" t="n">
        <v>1.05</v>
      </c>
      <c r="C45" s="113" t="n">
        <f aca="false">SUMPRODUCT((Turni!$F$5:$F$27&lt;=$A45)*(Turni!$G$5:$G$27&gt;$A45))</f>
        <v>5</v>
      </c>
      <c r="D45" s="113" t="n">
        <f aca="false">SUMPRODUCT((Turni!$F$5:$F$27&lt;=$A45)*(Turni!$G$5:$G$27&gt;$A45)*(Turni!$B$5:$B$27="RESP"))</f>
        <v>2</v>
      </c>
      <c r="E45" s="131" t="n">
        <f aca="false">IF($A45&lt;Parametri!B$63,0,MAX(Parametri!$B$66,IF(AND($A45&gt;=8/24,$A45&lt;21/24),INDEX(Casse!B$6:B$18,INT($A45*24)-7)+Parametri!$B$17,0)+INT((OreRichieste!B$17-Casse!B$19-Casse!B$25)*$B45/SUMIFS($B$6:$B$68,$A$6:$A$68,"&gt;="&amp;Parametri!B$63)/0.25)))</f>
        <v>5</v>
      </c>
      <c r="F45" s="132" t="str">
        <f aca="false">IF(C45&lt;E45,"KO",IF(AND(C45&gt;0,D45=0),"NO RESP","OK"))</f>
        <v>OK</v>
      </c>
      <c r="G45" s="113" t="n">
        <f aca="false">SUMPRODUCT((Turni!$I$5:$I$27&lt;=$A45)*(Turni!$J$5:$J$27&gt;$A45))</f>
        <v>5</v>
      </c>
      <c r="H45" s="113" t="n">
        <f aca="false">SUMPRODUCT((Turni!$I$5:$I$27&lt;=$A45)*(Turni!$J$5:$J$27&gt;$A45)*(Turni!$B$5:$B$27="RESP"))</f>
        <v>2</v>
      </c>
      <c r="I45" s="131" t="n">
        <f aca="false">IF($A45&lt;Parametri!C$63,0,MAX(Parametri!$B$66,IF(AND($A45&gt;=8/24,$A45&lt;21/24),INDEX(Casse!C$6:C$18,INT($A45*24)-7)+Parametri!$B$17,0)+INT((OreRichieste!C$17-Casse!C$19-Casse!C$25)*$B45/SUMIFS($B$6:$B$68,$A$6:$A$68,"&gt;="&amp;Parametri!C$63)/0.25)))</f>
        <v>5</v>
      </c>
      <c r="J45" s="132" t="str">
        <f aca="false">IF(G45&lt;I45,"KO",IF(AND(G45&gt;0,H45=0),"NO RESP","OK"))</f>
        <v>OK</v>
      </c>
      <c r="K45" s="113" t="n">
        <f aca="false">SUMPRODUCT((Turni!$L$5:$L$27&lt;=$A45)*(Turni!$M$5:$M$27&gt;$A45))</f>
        <v>5</v>
      </c>
      <c r="L45" s="113" t="n">
        <f aca="false">SUMPRODUCT((Turni!$L$5:$L$27&lt;=$A45)*(Turni!$M$5:$M$27&gt;$A45)*(Turni!$B$5:$B$27="RESP"))</f>
        <v>1</v>
      </c>
      <c r="M45" s="131" t="n">
        <f aca="false">IF($A45&lt;Parametri!D$63,0,MAX(Parametri!$B$66,IF(AND($A45&gt;=8/24,$A45&lt;21/24),INDEX(Casse!D$6:D$18,INT($A45*24)-7)+Parametri!$B$17,0)+INT((OreRichieste!D$17-Casse!D$19-Casse!D$25)*$B45/SUMIFS($B$6:$B$68,$A$6:$A$68,"&gt;="&amp;Parametri!D$63)/0.25)))</f>
        <v>5</v>
      </c>
      <c r="N45" s="132" t="str">
        <f aca="false">IF(K45&lt;M45,"KO",IF(AND(K45&gt;0,L45=0),"NO RESP","OK"))</f>
        <v>OK</v>
      </c>
      <c r="O45" s="113" t="n">
        <f aca="false">SUMPRODUCT((Turni!$O$5:$O$27&lt;=$A45)*(Turni!$P$5:$P$27&gt;$A45))</f>
        <v>5</v>
      </c>
      <c r="P45" s="113" t="n">
        <f aca="false">SUMPRODUCT((Turni!$O$5:$O$27&lt;=$A45)*(Turni!$P$5:$P$27&gt;$A45)*(Turni!$B$5:$B$27="RESP"))</f>
        <v>1</v>
      </c>
      <c r="Q45" s="131" t="n">
        <f aca="false">IF($A45&lt;Parametri!E$63,0,MAX(Parametri!$B$66,IF(AND($A45&gt;=8/24,$A45&lt;21/24),INDEX(Casse!E$6:E$18,INT($A45*24)-7)+Parametri!$B$17,0)+INT((OreRichieste!E$17-Casse!E$19-Casse!E$25)*$B45/SUMIFS($B$6:$B$68,$A$6:$A$68,"&gt;="&amp;Parametri!E$63)/0.25)))</f>
        <v>5</v>
      </c>
      <c r="R45" s="132" t="str">
        <f aca="false">IF(O45&lt;Q45,"KO",IF(AND(O45&gt;0,P45=0),"NO RESP","OK"))</f>
        <v>OK</v>
      </c>
      <c r="S45" s="113" t="n">
        <f aca="false">SUMPRODUCT((Turni!$R$5:$R$27&lt;=$A45)*(Turni!$S$5:$S$27&gt;$A45))</f>
        <v>5</v>
      </c>
      <c r="T45" s="113" t="n">
        <f aca="false">SUMPRODUCT((Turni!$R$5:$R$27&lt;=$A45)*(Turni!$S$5:$S$27&gt;$A45)*(Turni!$B$5:$B$27="RESP"))</f>
        <v>2</v>
      </c>
      <c r="U45" s="131" t="n">
        <f aca="false">IF($A45&lt;Parametri!F$63,0,MAX(Parametri!$B$66,IF(AND($A45&gt;=8/24,$A45&lt;21/24),INDEX(Casse!F$6:F$18,INT($A45*24)-7)+Parametri!$B$17,0)+INT((OreRichieste!F$17-Casse!F$19-Casse!F$25)*$B45/SUMIFS($B$6:$B$68,$A$6:$A$68,"&gt;="&amp;Parametri!F$63)/0.25)))</f>
        <v>5</v>
      </c>
      <c r="V45" s="132" t="str">
        <f aca="false">IF(S45&lt;U45,"KO",IF(AND(S45&gt;0,T45=0),"NO RESP","OK"))</f>
        <v>OK</v>
      </c>
      <c r="W45" s="113" t="n">
        <f aca="false">SUMPRODUCT((Turni!$U$5:$U$27&lt;=$A45)*(Turni!$V$5:$V$27&gt;$A45))</f>
        <v>6</v>
      </c>
      <c r="X45" s="113" t="n">
        <f aca="false">SUMPRODUCT((Turni!$U$5:$U$27&lt;=$A45)*(Turni!$V$5:$V$27&gt;$A45)*(Turni!$B$5:$B$27="RESP"))</f>
        <v>1</v>
      </c>
      <c r="Y45" s="131" t="n">
        <f aca="false">IF($A45&lt;Parametri!G$63,0,MAX(Parametri!$B$66,IF(AND($A45&gt;=8/24,$A45&lt;21/24),INDEX(Casse!G$6:G$18,INT($A45*24)-7)+Parametri!$B$17,0)+INT((OreRichieste!G$17-Casse!G$19-Casse!G$25)*$B45/SUMIFS($B$6:$B$68,$A$6:$A$68,"&gt;="&amp;Parametri!G$63)/0.25)))</f>
        <v>5</v>
      </c>
      <c r="Z45" s="132" t="str">
        <f aca="false">IF(W45&lt;Y45,"KO",IF(AND(W45&gt;0,X45=0),"NO RESP","OK"))</f>
        <v>OK</v>
      </c>
      <c r="AA45" s="113" t="n">
        <f aca="false">SUMPRODUCT((Turni!$X$5:$X$27&lt;=$A45)*(Turni!$Y$5:$Y$27&gt;$A45))</f>
        <v>6</v>
      </c>
      <c r="AB45" s="113" t="n">
        <f aca="false">SUMPRODUCT((Turni!$X$5:$X$27&lt;=$A45)*(Turni!$Y$5:$Y$27&gt;$A45)*(Turni!$B$5:$B$27="RESP"))</f>
        <v>2</v>
      </c>
      <c r="AC45" s="131" t="n">
        <f aca="false">IF($A45&lt;Parametri!H$63,0,MAX(Parametri!$B$66,IF(AND($A45&gt;=8/24,$A45&lt;21/24),INDEX(Casse!H$6:H$18,INT($A45*24)-7)+Parametri!$B$17,0)+INT((OreRichieste!H$17-Casse!H$19-Casse!H$25)*$B45/SUMIFS($B$6:$B$68,$A$6:$A$68,"&gt;="&amp;Parametri!H$63)/0.25)))</f>
        <v>5</v>
      </c>
      <c r="AD45" s="132" t="str">
        <f aca="false">IF(AA45&lt;AC45,"KO",IF(AND(AA45&gt;0,AB45=0),"NO RESP","OK"))</f>
        <v>OK</v>
      </c>
      <c r="AE45" s="133" t="s">
        <v>203</v>
      </c>
    </row>
    <row r="46" customFormat="false" ht="15" hidden="false" customHeight="true" outlineLevel="0" collapsed="false">
      <c r="A46" s="129" t="n">
        <v>0.645833333333333</v>
      </c>
      <c r="B46" s="130" t="n">
        <v>1.05</v>
      </c>
      <c r="C46" s="113" t="n">
        <f aca="false">SUMPRODUCT((Turni!$F$5:$F$27&lt;=$A46)*(Turni!$G$5:$G$27&gt;$A46))</f>
        <v>5</v>
      </c>
      <c r="D46" s="113" t="n">
        <f aca="false">SUMPRODUCT((Turni!$F$5:$F$27&lt;=$A46)*(Turni!$G$5:$G$27&gt;$A46)*(Turni!$B$5:$B$27="RESP"))</f>
        <v>2</v>
      </c>
      <c r="E46" s="131" t="n">
        <f aca="false">IF($A46&lt;Parametri!B$63,0,MAX(Parametri!$B$66,IF(AND($A46&gt;=8/24,$A46&lt;21/24),INDEX(Casse!B$6:B$18,INT($A46*24)-7)+Parametri!$B$17,0)+INT((OreRichieste!B$17-Casse!B$19-Casse!B$25)*$B46/SUMIFS($B$6:$B$68,$A$6:$A$68,"&gt;="&amp;Parametri!B$63)/0.25)))</f>
        <v>5</v>
      </c>
      <c r="F46" s="132" t="str">
        <f aca="false">IF(C46&lt;E46,"KO",IF(AND(C46&gt;0,D46=0),"NO RESP","OK"))</f>
        <v>OK</v>
      </c>
      <c r="G46" s="113" t="n">
        <f aca="false">SUMPRODUCT((Turni!$I$5:$I$27&lt;=$A46)*(Turni!$J$5:$J$27&gt;$A46))</f>
        <v>5</v>
      </c>
      <c r="H46" s="113" t="n">
        <f aca="false">SUMPRODUCT((Turni!$I$5:$I$27&lt;=$A46)*(Turni!$J$5:$J$27&gt;$A46)*(Turni!$B$5:$B$27="RESP"))</f>
        <v>2</v>
      </c>
      <c r="I46" s="131" t="n">
        <f aca="false">IF($A46&lt;Parametri!C$63,0,MAX(Parametri!$B$66,IF(AND($A46&gt;=8/24,$A46&lt;21/24),INDEX(Casse!C$6:C$18,INT($A46*24)-7)+Parametri!$B$17,0)+INT((OreRichieste!C$17-Casse!C$19-Casse!C$25)*$B46/SUMIFS($B$6:$B$68,$A$6:$A$68,"&gt;="&amp;Parametri!C$63)/0.25)))</f>
        <v>5</v>
      </c>
      <c r="J46" s="132" t="str">
        <f aca="false">IF(G46&lt;I46,"KO",IF(AND(G46&gt;0,H46=0),"NO RESP","OK"))</f>
        <v>OK</v>
      </c>
      <c r="K46" s="113" t="n">
        <f aca="false">SUMPRODUCT((Turni!$L$5:$L$27&lt;=$A46)*(Turni!$M$5:$M$27&gt;$A46))</f>
        <v>5</v>
      </c>
      <c r="L46" s="113" t="n">
        <f aca="false">SUMPRODUCT((Turni!$L$5:$L$27&lt;=$A46)*(Turni!$M$5:$M$27&gt;$A46)*(Turni!$B$5:$B$27="RESP"))</f>
        <v>1</v>
      </c>
      <c r="M46" s="131" t="n">
        <f aca="false">IF($A46&lt;Parametri!D$63,0,MAX(Parametri!$B$66,IF(AND($A46&gt;=8/24,$A46&lt;21/24),INDEX(Casse!D$6:D$18,INT($A46*24)-7)+Parametri!$B$17,0)+INT((OreRichieste!D$17-Casse!D$19-Casse!D$25)*$B46/SUMIFS($B$6:$B$68,$A$6:$A$68,"&gt;="&amp;Parametri!D$63)/0.25)))</f>
        <v>5</v>
      </c>
      <c r="N46" s="132" t="str">
        <f aca="false">IF(K46&lt;M46,"KO",IF(AND(K46&gt;0,L46=0),"NO RESP","OK"))</f>
        <v>OK</v>
      </c>
      <c r="O46" s="113" t="n">
        <f aca="false">SUMPRODUCT((Turni!$O$5:$O$27&lt;=$A46)*(Turni!$P$5:$P$27&gt;$A46))</f>
        <v>5</v>
      </c>
      <c r="P46" s="113" t="n">
        <f aca="false">SUMPRODUCT((Turni!$O$5:$O$27&lt;=$A46)*(Turni!$P$5:$P$27&gt;$A46)*(Turni!$B$5:$B$27="RESP"))</f>
        <v>1</v>
      </c>
      <c r="Q46" s="131" t="n">
        <f aca="false">IF($A46&lt;Parametri!E$63,0,MAX(Parametri!$B$66,IF(AND($A46&gt;=8/24,$A46&lt;21/24),INDEX(Casse!E$6:E$18,INT($A46*24)-7)+Parametri!$B$17,0)+INT((OreRichieste!E$17-Casse!E$19-Casse!E$25)*$B46/SUMIFS($B$6:$B$68,$A$6:$A$68,"&gt;="&amp;Parametri!E$63)/0.25)))</f>
        <v>5</v>
      </c>
      <c r="R46" s="132" t="str">
        <f aca="false">IF(O46&lt;Q46,"KO",IF(AND(O46&gt;0,P46=0),"NO RESP","OK"))</f>
        <v>OK</v>
      </c>
      <c r="S46" s="113" t="n">
        <f aca="false">SUMPRODUCT((Turni!$R$5:$R$27&lt;=$A46)*(Turni!$S$5:$S$27&gt;$A46))</f>
        <v>5</v>
      </c>
      <c r="T46" s="113" t="n">
        <f aca="false">SUMPRODUCT((Turni!$R$5:$R$27&lt;=$A46)*(Turni!$S$5:$S$27&gt;$A46)*(Turni!$B$5:$B$27="RESP"))</f>
        <v>2</v>
      </c>
      <c r="U46" s="131" t="n">
        <f aca="false">IF($A46&lt;Parametri!F$63,0,MAX(Parametri!$B$66,IF(AND($A46&gt;=8/24,$A46&lt;21/24),INDEX(Casse!F$6:F$18,INT($A46*24)-7)+Parametri!$B$17,0)+INT((OreRichieste!F$17-Casse!F$19-Casse!F$25)*$B46/SUMIFS($B$6:$B$68,$A$6:$A$68,"&gt;="&amp;Parametri!F$63)/0.25)))</f>
        <v>5</v>
      </c>
      <c r="V46" s="132" t="str">
        <f aca="false">IF(S46&lt;U46,"KO",IF(AND(S46&gt;0,T46=0),"NO RESP","OK"))</f>
        <v>OK</v>
      </c>
      <c r="W46" s="113" t="n">
        <f aca="false">SUMPRODUCT((Turni!$U$5:$U$27&lt;=$A46)*(Turni!$V$5:$V$27&gt;$A46))</f>
        <v>5</v>
      </c>
      <c r="X46" s="113" t="n">
        <f aca="false">SUMPRODUCT((Turni!$U$5:$U$27&lt;=$A46)*(Turni!$V$5:$V$27&gt;$A46)*(Turni!$B$5:$B$27="RESP"))</f>
        <v>1</v>
      </c>
      <c r="Y46" s="131" t="n">
        <f aca="false">IF($A46&lt;Parametri!G$63,0,MAX(Parametri!$B$66,IF(AND($A46&gt;=8/24,$A46&lt;21/24),INDEX(Casse!G$6:G$18,INT($A46*24)-7)+Parametri!$B$17,0)+INT((OreRichieste!G$17-Casse!G$19-Casse!G$25)*$B46/SUMIFS($B$6:$B$68,$A$6:$A$68,"&gt;="&amp;Parametri!G$63)/0.25)))</f>
        <v>5</v>
      </c>
      <c r="Z46" s="132" t="str">
        <f aca="false">IF(W46&lt;Y46,"KO",IF(AND(W46&gt;0,X46=0),"NO RESP","OK"))</f>
        <v>OK</v>
      </c>
      <c r="AA46" s="113" t="n">
        <f aca="false">SUMPRODUCT((Turni!$X$5:$X$27&lt;=$A46)*(Turni!$Y$5:$Y$27&gt;$A46))</f>
        <v>5</v>
      </c>
      <c r="AB46" s="113" t="n">
        <f aca="false">SUMPRODUCT((Turni!$X$5:$X$27&lt;=$A46)*(Turni!$Y$5:$Y$27&gt;$A46)*(Turni!$B$5:$B$27="RESP"))</f>
        <v>1</v>
      </c>
      <c r="AC46" s="131" t="n">
        <f aca="false">IF($A46&lt;Parametri!H$63,0,MAX(Parametri!$B$66,IF(AND($A46&gt;=8/24,$A46&lt;21/24),INDEX(Casse!H$6:H$18,INT($A46*24)-7)+Parametri!$B$17,0)+INT((OreRichieste!H$17-Casse!H$19-Casse!H$25)*$B46/SUMIFS($B$6:$B$68,$A$6:$A$68,"&gt;="&amp;Parametri!H$63)/0.25)))</f>
        <v>5</v>
      </c>
      <c r="AD46" s="132" t="str">
        <f aca="false">IF(AA46&lt;AC46,"KO",IF(AND(AA46&gt;0,AB46=0),"NO RESP","OK"))</f>
        <v>OK</v>
      </c>
      <c r="AE46" s="133" t="s">
        <v>204</v>
      </c>
    </row>
    <row r="47" customFormat="false" ht="15" hidden="false" customHeight="true" outlineLevel="0" collapsed="false">
      <c r="A47" s="129" t="n">
        <v>0.65625</v>
      </c>
      <c r="B47" s="130" t="n">
        <v>1.05</v>
      </c>
      <c r="C47" s="113" t="n">
        <f aca="false">SUMPRODUCT((Turni!$F$5:$F$27&lt;=$A47)*(Turni!$G$5:$G$27&gt;$A47))</f>
        <v>5</v>
      </c>
      <c r="D47" s="113" t="n">
        <f aca="false">SUMPRODUCT((Turni!$F$5:$F$27&lt;=$A47)*(Turni!$G$5:$G$27&gt;$A47)*(Turni!$B$5:$B$27="RESP"))</f>
        <v>2</v>
      </c>
      <c r="E47" s="131" t="n">
        <f aca="false">IF($A47&lt;Parametri!B$63,0,MAX(Parametri!$B$66,IF(AND($A47&gt;=8/24,$A47&lt;21/24),INDEX(Casse!B$6:B$18,INT($A47*24)-7)+Parametri!$B$17,0)+INT((OreRichieste!B$17-Casse!B$19-Casse!B$25)*$B47/SUMIFS($B$6:$B$68,$A$6:$A$68,"&gt;="&amp;Parametri!B$63)/0.25)))</f>
        <v>5</v>
      </c>
      <c r="F47" s="132" t="str">
        <f aca="false">IF(C47&lt;E47,"KO",IF(AND(C47&gt;0,D47=0),"NO RESP","OK"))</f>
        <v>OK</v>
      </c>
      <c r="G47" s="113" t="n">
        <f aca="false">SUMPRODUCT((Turni!$I$5:$I$27&lt;=$A47)*(Turni!$J$5:$J$27&gt;$A47))</f>
        <v>5</v>
      </c>
      <c r="H47" s="113" t="n">
        <f aca="false">SUMPRODUCT((Turni!$I$5:$I$27&lt;=$A47)*(Turni!$J$5:$J$27&gt;$A47)*(Turni!$B$5:$B$27="RESP"))</f>
        <v>2</v>
      </c>
      <c r="I47" s="131" t="n">
        <f aca="false">IF($A47&lt;Parametri!C$63,0,MAX(Parametri!$B$66,IF(AND($A47&gt;=8/24,$A47&lt;21/24),INDEX(Casse!C$6:C$18,INT($A47*24)-7)+Parametri!$B$17,0)+INT((OreRichieste!C$17-Casse!C$19-Casse!C$25)*$B47/SUMIFS($B$6:$B$68,$A$6:$A$68,"&gt;="&amp;Parametri!C$63)/0.25)))</f>
        <v>5</v>
      </c>
      <c r="J47" s="132" t="str">
        <f aca="false">IF(G47&lt;I47,"KO",IF(AND(G47&gt;0,H47=0),"NO RESP","OK"))</f>
        <v>OK</v>
      </c>
      <c r="K47" s="113" t="n">
        <f aca="false">SUMPRODUCT((Turni!$L$5:$L$27&lt;=$A47)*(Turni!$M$5:$M$27&gt;$A47))</f>
        <v>5</v>
      </c>
      <c r="L47" s="113" t="n">
        <f aca="false">SUMPRODUCT((Turni!$L$5:$L$27&lt;=$A47)*(Turni!$M$5:$M$27&gt;$A47)*(Turni!$B$5:$B$27="RESP"))</f>
        <v>1</v>
      </c>
      <c r="M47" s="131" t="n">
        <f aca="false">IF($A47&lt;Parametri!D$63,0,MAX(Parametri!$B$66,IF(AND($A47&gt;=8/24,$A47&lt;21/24),INDEX(Casse!D$6:D$18,INT($A47*24)-7)+Parametri!$B$17,0)+INT((OreRichieste!D$17-Casse!D$19-Casse!D$25)*$B47/SUMIFS($B$6:$B$68,$A$6:$A$68,"&gt;="&amp;Parametri!D$63)/0.25)))</f>
        <v>5</v>
      </c>
      <c r="N47" s="132" t="str">
        <f aca="false">IF(K47&lt;M47,"KO",IF(AND(K47&gt;0,L47=0),"NO RESP","OK"))</f>
        <v>OK</v>
      </c>
      <c r="O47" s="113" t="n">
        <f aca="false">SUMPRODUCT((Turni!$O$5:$O$27&lt;=$A47)*(Turni!$P$5:$P$27&gt;$A47))</f>
        <v>5</v>
      </c>
      <c r="P47" s="113" t="n">
        <f aca="false">SUMPRODUCT((Turni!$O$5:$O$27&lt;=$A47)*(Turni!$P$5:$P$27&gt;$A47)*(Turni!$B$5:$B$27="RESP"))</f>
        <v>1</v>
      </c>
      <c r="Q47" s="131" t="n">
        <f aca="false">IF($A47&lt;Parametri!E$63,0,MAX(Parametri!$B$66,IF(AND($A47&gt;=8/24,$A47&lt;21/24),INDEX(Casse!E$6:E$18,INT($A47*24)-7)+Parametri!$B$17,0)+INT((OreRichieste!E$17-Casse!E$19-Casse!E$25)*$B47/SUMIFS($B$6:$B$68,$A$6:$A$68,"&gt;="&amp;Parametri!E$63)/0.25)))</f>
        <v>5</v>
      </c>
      <c r="R47" s="132" t="str">
        <f aca="false">IF(O47&lt;Q47,"KO",IF(AND(O47&gt;0,P47=0),"NO RESP","OK"))</f>
        <v>OK</v>
      </c>
      <c r="S47" s="113" t="n">
        <f aca="false">SUMPRODUCT((Turni!$R$5:$R$27&lt;=$A47)*(Turni!$S$5:$S$27&gt;$A47))</f>
        <v>5</v>
      </c>
      <c r="T47" s="113" t="n">
        <f aca="false">SUMPRODUCT((Turni!$R$5:$R$27&lt;=$A47)*(Turni!$S$5:$S$27&gt;$A47)*(Turni!$B$5:$B$27="RESP"))</f>
        <v>2</v>
      </c>
      <c r="U47" s="131" t="n">
        <f aca="false">IF($A47&lt;Parametri!F$63,0,MAX(Parametri!$B$66,IF(AND($A47&gt;=8/24,$A47&lt;21/24),INDEX(Casse!F$6:F$18,INT($A47*24)-7)+Parametri!$B$17,0)+INT((OreRichieste!F$17-Casse!F$19-Casse!F$25)*$B47/SUMIFS($B$6:$B$68,$A$6:$A$68,"&gt;="&amp;Parametri!F$63)/0.25)))</f>
        <v>5</v>
      </c>
      <c r="V47" s="132" t="str">
        <f aca="false">IF(S47&lt;U47,"KO",IF(AND(S47&gt;0,T47=0),"NO RESP","OK"))</f>
        <v>OK</v>
      </c>
      <c r="W47" s="113" t="n">
        <f aca="false">SUMPRODUCT((Turni!$U$5:$U$27&lt;=$A47)*(Turni!$V$5:$V$27&gt;$A47))</f>
        <v>5</v>
      </c>
      <c r="X47" s="113" t="n">
        <f aca="false">SUMPRODUCT((Turni!$U$5:$U$27&lt;=$A47)*(Turni!$V$5:$V$27&gt;$A47)*(Turni!$B$5:$B$27="RESP"))</f>
        <v>1</v>
      </c>
      <c r="Y47" s="131" t="n">
        <f aca="false">IF($A47&lt;Parametri!G$63,0,MAX(Parametri!$B$66,IF(AND($A47&gt;=8/24,$A47&lt;21/24),INDEX(Casse!G$6:G$18,INT($A47*24)-7)+Parametri!$B$17,0)+INT((OreRichieste!G$17-Casse!G$19-Casse!G$25)*$B47/SUMIFS($B$6:$B$68,$A$6:$A$68,"&gt;="&amp;Parametri!G$63)/0.25)))</f>
        <v>5</v>
      </c>
      <c r="Z47" s="132" t="str">
        <f aca="false">IF(W47&lt;Y47,"KO",IF(AND(W47&gt;0,X47=0),"NO RESP","OK"))</f>
        <v>OK</v>
      </c>
      <c r="AA47" s="113" t="n">
        <f aca="false">SUMPRODUCT((Turni!$X$5:$X$27&lt;=$A47)*(Turni!$Y$5:$Y$27&gt;$A47))</f>
        <v>5</v>
      </c>
      <c r="AB47" s="113" t="n">
        <f aca="false">SUMPRODUCT((Turni!$X$5:$X$27&lt;=$A47)*(Turni!$Y$5:$Y$27&gt;$A47)*(Turni!$B$5:$B$27="RESP"))</f>
        <v>1</v>
      </c>
      <c r="AC47" s="131" t="n">
        <f aca="false">IF($A47&lt;Parametri!H$63,0,MAX(Parametri!$B$66,IF(AND($A47&gt;=8/24,$A47&lt;21/24),INDEX(Casse!H$6:H$18,INT($A47*24)-7)+Parametri!$B$17,0)+INT((OreRichieste!H$17-Casse!H$19-Casse!H$25)*$B47/SUMIFS($B$6:$B$68,$A$6:$A$68,"&gt;="&amp;Parametri!H$63)/0.25)))</f>
        <v>5</v>
      </c>
      <c r="AD47" s="132" t="str">
        <f aca="false">IF(AA47&lt;AC47,"KO",IF(AND(AA47&gt;0,AB47=0),"NO RESP","OK"))</f>
        <v>OK</v>
      </c>
      <c r="AE47" s="133" t="s">
        <v>205</v>
      </c>
    </row>
    <row r="48" customFormat="false" ht="15" hidden="false" customHeight="true" outlineLevel="0" collapsed="false">
      <c r="A48" s="129" t="n">
        <v>0.666666666666667</v>
      </c>
      <c r="B48" s="130" t="n">
        <v>1.05</v>
      </c>
      <c r="C48" s="113" t="n">
        <f aca="false">SUMPRODUCT((Turni!$F$5:$F$27&lt;=$A48)*(Turni!$G$5:$G$27&gt;$A48))</f>
        <v>5</v>
      </c>
      <c r="D48" s="113" t="n">
        <f aca="false">SUMPRODUCT((Turni!$F$5:$F$27&lt;=$A48)*(Turni!$G$5:$G$27&gt;$A48)*(Turni!$B$5:$B$27="RESP"))</f>
        <v>2</v>
      </c>
      <c r="E48" s="131" t="n">
        <f aca="false">IF($A48&lt;Parametri!B$63,0,MAX(Parametri!$B$66,IF(AND($A48&gt;=8/24,$A48&lt;21/24),INDEX(Casse!B$6:B$18,INT($A48*24)-7)+Parametri!$B$17,0)+INT((OreRichieste!B$17-Casse!B$19-Casse!B$25)*$B48/SUMIFS($B$6:$B$68,$A$6:$A$68,"&gt;="&amp;Parametri!B$63)/0.25)))</f>
        <v>5</v>
      </c>
      <c r="F48" s="132" t="str">
        <f aca="false">IF(C48&lt;E48,"KO",IF(AND(C48&gt;0,D48=0),"NO RESP","OK"))</f>
        <v>OK</v>
      </c>
      <c r="G48" s="113" t="n">
        <f aca="false">SUMPRODUCT((Turni!$I$5:$I$27&lt;=$A48)*(Turni!$J$5:$J$27&gt;$A48))</f>
        <v>6</v>
      </c>
      <c r="H48" s="113" t="n">
        <f aca="false">SUMPRODUCT((Turni!$I$5:$I$27&lt;=$A48)*(Turni!$J$5:$J$27&gt;$A48)*(Turni!$B$5:$B$27="RESP"))</f>
        <v>2</v>
      </c>
      <c r="I48" s="131" t="n">
        <f aca="false">IF($A48&lt;Parametri!C$63,0,MAX(Parametri!$B$66,IF(AND($A48&gt;=8/24,$A48&lt;21/24),INDEX(Casse!C$6:C$18,INT($A48*24)-7)+Parametri!$B$17,0)+INT((OreRichieste!C$17-Casse!C$19-Casse!C$25)*$B48/SUMIFS($B$6:$B$68,$A$6:$A$68,"&gt;="&amp;Parametri!C$63)/0.25)))</f>
        <v>5</v>
      </c>
      <c r="J48" s="132" t="str">
        <f aca="false">IF(G48&lt;I48,"KO",IF(AND(G48&gt;0,H48=0),"NO RESP","OK"))</f>
        <v>OK</v>
      </c>
      <c r="K48" s="113" t="n">
        <f aca="false">SUMPRODUCT((Turni!$L$5:$L$27&lt;=$A48)*(Turni!$M$5:$M$27&gt;$A48))</f>
        <v>6</v>
      </c>
      <c r="L48" s="113" t="n">
        <f aca="false">SUMPRODUCT((Turni!$L$5:$L$27&lt;=$A48)*(Turni!$M$5:$M$27&gt;$A48)*(Turni!$B$5:$B$27="RESP"))</f>
        <v>1</v>
      </c>
      <c r="M48" s="131" t="n">
        <f aca="false">IF($A48&lt;Parametri!D$63,0,MAX(Parametri!$B$66,IF(AND($A48&gt;=8/24,$A48&lt;21/24),INDEX(Casse!D$6:D$18,INT($A48*24)-7)+Parametri!$B$17,0)+INT((OreRichieste!D$17-Casse!D$19-Casse!D$25)*$B48/SUMIFS($B$6:$B$68,$A$6:$A$68,"&gt;="&amp;Parametri!D$63)/0.25)))</f>
        <v>5</v>
      </c>
      <c r="N48" s="132" t="str">
        <f aca="false">IF(K48&lt;M48,"KO",IF(AND(K48&gt;0,L48=0),"NO RESP","OK"))</f>
        <v>OK</v>
      </c>
      <c r="O48" s="113" t="n">
        <f aca="false">SUMPRODUCT((Turni!$O$5:$O$27&lt;=$A48)*(Turni!$P$5:$P$27&gt;$A48))</f>
        <v>5</v>
      </c>
      <c r="P48" s="113" t="n">
        <f aca="false">SUMPRODUCT((Turni!$O$5:$O$27&lt;=$A48)*(Turni!$P$5:$P$27&gt;$A48)*(Turni!$B$5:$B$27="RESP"))</f>
        <v>1</v>
      </c>
      <c r="Q48" s="131" t="n">
        <f aca="false">IF($A48&lt;Parametri!E$63,0,MAX(Parametri!$B$66,IF(AND($A48&gt;=8/24,$A48&lt;21/24),INDEX(Casse!E$6:E$18,INT($A48*24)-7)+Parametri!$B$17,0)+INT((OreRichieste!E$17-Casse!E$19-Casse!E$25)*$B48/SUMIFS($B$6:$B$68,$A$6:$A$68,"&gt;="&amp;Parametri!E$63)/0.25)))</f>
        <v>5</v>
      </c>
      <c r="R48" s="132" t="str">
        <f aca="false">IF(O48&lt;Q48,"KO",IF(AND(O48&gt;0,P48=0),"NO RESP","OK"))</f>
        <v>OK</v>
      </c>
      <c r="S48" s="113" t="n">
        <f aca="false">SUMPRODUCT((Turni!$R$5:$R$27&lt;=$A48)*(Turni!$S$5:$S$27&gt;$A48))</f>
        <v>5</v>
      </c>
      <c r="T48" s="113" t="n">
        <f aca="false">SUMPRODUCT((Turni!$R$5:$R$27&lt;=$A48)*(Turni!$S$5:$S$27&gt;$A48)*(Turni!$B$5:$B$27="RESP"))</f>
        <v>2</v>
      </c>
      <c r="U48" s="131" t="n">
        <f aca="false">IF($A48&lt;Parametri!F$63,0,MAX(Parametri!$B$66,IF(AND($A48&gt;=8/24,$A48&lt;21/24),INDEX(Casse!F$6:F$18,INT($A48*24)-7)+Parametri!$B$17,0)+INT((OreRichieste!F$17-Casse!F$19-Casse!F$25)*$B48/SUMIFS($B$6:$B$68,$A$6:$A$68,"&gt;="&amp;Parametri!F$63)/0.25)))</f>
        <v>5</v>
      </c>
      <c r="V48" s="132" t="str">
        <f aca="false">IF(S48&lt;U48,"KO",IF(AND(S48&gt;0,T48=0),"NO RESP","OK"))</f>
        <v>OK</v>
      </c>
      <c r="W48" s="113" t="n">
        <f aca="false">SUMPRODUCT((Turni!$U$5:$U$27&lt;=$A48)*(Turni!$V$5:$V$27&gt;$A48))</f>
        <v>6</v>
      </c>
      <c r="X48" s="113" t="n">
        <f aca="false">SUMPRODUCT((Turni!$U$5:$U$27&lt;=$A48)*(Turni!$V$5:$V$27&gt;$A48)*(Turni!$B$5:$B$27="RESP"))</f>
        <v>1</v>
      </c>
      <c r="Y48" s="131" t="n">
        <f aca="false">IF($A48&lt;Parametri!G$63,0,MAX(Parametri!$B$66,IF(AND($A48&gt;=8/24,$A48&lt;21/24),INDEX(Casse!G$6:G$18,INT($A48*24)-7)+Parametri!$B$17,0)+INT((OreRichieste!G$17-Casse!G$19-Casse!G$25)*$B48/SUMIFS($B$6:$B$68,$A$6:$A$68,"&gt;="&amp;Parametri!G$63)/0.25)))</f>
        <v>6</v>
      </c>
      <c r="Z48" s="132" t="str">
        <f aca="false">IF(W48&lt;Y48,"KO",IF(AND(W48&gt;0,X48=0),"NO RESP","OK"))</f>
        <v>OK</v>
      </c>
      <c r="AA48" s="113" t="n">
        <f aca="false">SUMPRODUCT((Turni!$X$5:$X$27&lt;=$A48)*(Turni!$Y$5:$Y$27&gt;$A48))</f>
        <v>5</v>
      </c>
      <c r="AB48" s="113" t="n">
        <f aca="false">SUMPRODUCT((Turni!$X$5:$X$27&lt;=$A48)*(Turni!$Y$5:$Y$27&gt;$A48)*(Turni!$B$5:$B$27="RESP"))</f>
        <v>1</v>
      </c>
      <c r="AC48" s="131" t="n">
        <f aca="false">IF($A48&lt;Parametri!H$63,0,MAX(Parametri!$B$66,IF(AND($A48&gt;=8/24,$A48&lt;21/24),INDEX(Casse!H$6:H$18,INT($A48*24)-7)+Parametri!$B$17,0)+INT((OreRichieste!H$17-Casse!H$19-Casse!H$25)*$B48/SUMIFS($B$6:$B$68,$A$6:$A$68,"&gt;="&amp;Parametri!H$63)/0.25)))</f>
        <v>5</v>
      </c>
      <c r="AD48" s="132" t="str">
        <f aca="false">IF(AA48&lt;AC48,"KO",IF(AND(AA48&gt;0,AB48=0),"NO RESP","OK"))</f>
        <v>OK</v>
      </c>
      <c r="AE48" s="133" t="s">
        <v>206</v>
      </c>
    </row>
    <row r="49" customFormat="false" ht="15" hidden="false" customHeight="true" outlineLevel="0" collapsed="false">
      <c r="A49" s="129" t="n">
        <v>0.677083333333333</v>
      </c>
      <c r="B49" s="130" t="n">
        <v>1.05</v>
      </c>
      <c r="C49" s="113" t="n">
        <f aca="false">SUMPRODUCT((Turni!$F$5:$F$27&lt;=$A49)*(Turni!$G$5:$G$27&gt;$A49))</f>
        <v>6</v>
      </c>
      <c r="D49" s="113" t="n">
        <f aca="false">SUMPRODUCT((Turni!$F$5:$F$27&lt;=$A49)*(Turni!$G$5:$G$27&gt;$A49)*(Turni!$B$5:$B$27="RESP"))</f>
        <v>2</v>
      </c>
      <c r="E49" s="131" t="n">
        <f aca="false">IF($A49&lt;Parametri!B$63,0,MAX(Parametri!$B$66,IF(AND($A49&gt;=8/24,$A49&lt;21/24),INDEX(Casse!B$6:B$18,INT($A49*24)-7)+Parametri!$B$17,0)+INT((OreRichieste!B$17-Casse!B$19-Casse!B$25)*$B49/SUMIFS($B$6:$B$68,$A$6:$A$68,"&gt;="&amp;Parametri!B$63)/0.25)))</f>
        <v>5</v>
      </c>
      <c r="F49" s="132" t="str">
        <f aca="false">IF(C49&lt;E49,"KO",IF(AND(C49&gt;0,D49=0),"NO RESP","OK"))</f>
        <v>OK</v>
      </c>
      <c r="G49" s="113" t="n">
        <f aca="false">SUMPRODUCT((Turni!$I$5:$I$27&lt;=$A49)*(Turni!$J$5:$J$27&gt;$A49))</f>
        <v>6</v>
      </c>
      <c r="H49" s="113" t="n">
        <f aca="false">SUMPRODUCT((Turni!$I$5:$I$27&lt;=$A49)*(Turni!$J$5:$J$27&gt;$A49)*(Turni!$B$5:$B$27="RESP"))</f>
        <v>2</v>
      </c>
      <c r="I49" s="131" t="n">
        <f aca="false">IF($A49&lt;Parametri!C$63,0,MAX(Parametri!$B$66,IF(AND($A49&gt;=8/24,$A49&lt;21/24),INDEX(Casse!C$6:C$18,INT($A49*24)-7)+Parametri!$B$17,0)+INT((OreRichieste!C$17-Casse!C$19-Casse!C$25)*$B49/SUMIFS($B$6:$B$68,$A$6:$A$68,"&gt;="&amp;Parametri!C$63)/0.25)))</f>
        <v>5</v>
      </c>
      <c r="J49" s="132" t="str">
        <f aca="false">IF(G49&lt;I49,"KO",IF(AND(G49&gt;0,H49=0),"NO RESP","OK"))</f>
        <v>OK</v>
      </c>
      <c r="K49" s="113" t="n">
        <f aca="false">SUMPRODUCT((Turni!$L$5:$L$27&lt;=$A49)*(Turni!$M$5:$M$27&gt;$A49))</f>
        <v>6</v>
      </c>
      <c r="L49" s="113" t="n">
        <f aca="false">SUMPRODUCT((Turni!$L$5:$L$27&lt;=$A49)*(Turni!$M$5:$M$27&gt;$A49)*(Turni!$B$5:$B$27="RESP"))</f>
        <v>1</v>
      </c>
      <c r="M49" s="131" t="n">
        <f aca="false">IF($A49&lt;Parametri!D$63,0,MAX(Parametri!$B$66,IF(AND($A49&gt;=8/24,$A49&lt;21/24),INDEX(Casse!D$6:D$18,INT($A49*24)-7)+Parametri!$B$17,0)+INT((OreRichieste!D$17-Casse!D$19-Casse!D$25)*$B49/SUMIFS($B$6:$B$68,$A$6:$A$68,"&gt;="&amp;Parametri!D$63)/0.25)))</f>
        <v>5</v>
      </c>
      <c r="N49" s="132" t="str">
        <f aca="false">IF(K49&lt;M49,"KO",IF(AND(K49&gt;0,L49=0),"NO RESP","OK"))</f>
        <v>OK</v>
      </c>
      <c r="O49" s="113" t="n">
        <f aca="false">SUMPRODUCT((Turni!$O$5:$O$27&lt;=$A49)*(Turni!$P$5:$P$27&gt;$A49))</f>
        <v>6</v>
      </c>
      <c r="P49" s="113" t="n">
        <f aca="false">SUMPRODUCT((Turni!$O$5:$O$27&lt;=$A49)*(Turni!$P$5:$P$27&gt;$A49)*(Turni!$B$5:$B$27="RESP"))</f>
        <v>1</v>
      </c>
      <c r="Q49" s="131" t="n">
        <f aca="false">IF($A49&lt;Parametri!E$63,0,MAX(Parametri!$B$66,IF(AND($A49&gt;=8/24,$A49&lt;21/24),INDEX(Casse!E$6:E$18,INT($A49*24)-7)+Parametri!$B$17,0)+INT((OreRichieste!E$17-Casse!E$19-Casse!E$25)*$B49/SUMIFS($B$6:$B$68,$A$6:$A$68,"&gt;="&amp;Parametri!E$63)/0.25)))</f>
        <v>5</v>
      </c>
      <c r="R49" s="132" t="str">
        <f aca="false">IF(O49&lt;Q49,"KO",IF(AND(O49&gt;0,P49=0),"NO RESP","OK"))</f>
        <v>OK</v>
      </c>
      <c r="S49" s="113" t="n">
        <f aca="false">SUMPRODUCT((Turni!$R$5:$R$27&lt;=$A49)*(Turni!$S$5:$S$27&gt;$A49))</f>
        <v>8</v>
      </c>
      <c r="T49" s="113" t="n">
        <f aca="false">SUMPRODUCT((Turni!$R$5:$R$27&lt;=$A49)*(Turni!$S$5:$S$27&gt;$A49)*(Turni!$B$5:$B$27="RESP"))</f>
        <v>3</v>
      </c>
      <c r="U49" s="131" t="n">
        <f aca="false">IF($A49&lt;Parametri!F$63,0,MAX(Parametri!$B$66,IF(AND($A49&gt;=8/24,$A49&lt;21/24),INDEX(Casse!F$6:F$18,INT($A49*24)-7)+Parametri!$B$17,0)+INT((OreRichieste!F$17-Casse!F$19-Casse!F$25)*$B49/SUMIFS($B$6:$B$68,$A$6:$A$68,"&gt;="&amp;Parametri!F$63)/0.25)))</f>
        <v>5</v>
      </c>
      <c r="V49" s="132" t="str">
        <f aca="false">IF(S49&lt;U49,"KO",IF(AND(S49&gt;0,T49=0),"NO RESP","OK"))</f>
        <v>OK</v>
      </c>
      <c r="W49" s="113" t="n">
        <f aca="false">SUMPRODUCT((Turni!$U$5:$U$27&lt;=$A49)*(Turni!$V$5:$V$27&gt;$A49))</f>
        <v>8</v>
      </c>
      <c r="X49" s="113" t="n">
        <f aca="false">SUMPRODUCT((Turni!$U$5:$U$27&lt;=$A49)*(Turni!$V$5:$V$27&gt;$A49)*(Turni!$B$5:$B$27="RESP"))</f>
        <v>2</v>
      </c>
      <c r="Y49" s="131" t="n">
        <f aca="false">IF($A49&lt;Parametri!G$63,0,MAX(Parametri!$B$66,IF(AND($A49&gt;=8/24,$A49&lt;21/24),INDEX(Casse!G$6:G$18,INT($A49*24)-7)+Parametri!$B$17,0)+INT((OreRichieste!G$17-Casse!G$19-Casse!G$25)*$B49/SUMIFS($B$6:$B$68,$A$6:$A$68,"&gt;="&amp;Parametri!G$63)/0.25)))</f>
        <v>6</v>
      </c>
      <c r="Z49" s="132" t="str">
        <f aca="false">IF(W49&lt;Y49,"KO",IF(AND(W49&gt;0,X49=0),"NO RESP","OK"))</f>
        <v>OK</v>
      </c>
      <c r="AA49" s="113" t="n">
        <f aca="false">SUMPRODUCT((Turni!$X$5:$X$27&lt;=$A49)*(Turni!$Y$5:$Y$27&gt;$A49))</f>
        <v>6</v>
      </c>
      <c r="AB49" s="113" t="n">
        <f aca="false">SUMPRODUCT((Turni!$X$5:$X$27&lt;=$A49)*(Turni!$Y$5:$Y$27&gt;$A49)*(Turni!$B$5:$B$27="RESP"))</f>
        <v>1</v>
      </c>
      <c r="AC49" s="131" t="n">
        <f aca="false">IF($A49&lt;Parametri!H$63,0,MAX(Parametri!$B$66,IF(AND($A49&gt;=8/24,$A49&lt;21/24),INDEX(Casse!H$6:H$18,INT($A49*24)-7)+Parametri!$B$17,0)+INT((OreRichieste!H$17-Casse!H$19-Casse!H$25)*$B49/SUMIFS($B$6:$B$68,$A$6:$A$68,"&gt;="&amp;Parametri!H$63)/0.25)))</f>
        <v>5</v>
      </c>
      <c r="AD49" s="132" t="str">
        <f aca="false">IF(AA49&lt;AC49,"KO",IF(AND(AA49&gt;0,AB49=0),"NO RESP","OK"))</f>
        <v>OK</v>
      </c>
      <c r="AE49" s="133" t="s">
        <v>207</v>
      </c>
    </row>
    <row r="50" customFormat="false" ht="15" hidden="false" customHeight="true" outlineLevel="0" collapsed="false">
      <c r="A50" s="129" t="n">
        <v>0.6875</v>
      </c>
      <c r="B50" s="130" t="n">
        <v>1.05</v>
      </c>
      <c r="C50" s="113" t="n">
        <f aca="false">SUMPRODUCT((Turni!$F$5:$F$27&lt;=$A50)*(Turni!$G$5:$G$27&gt;$A50))</f>
        <v>5</v>
      </c>
      <c r="D50" s="113" t="n">
        <f aca="false">SUMPRODUCT((Turni!$F$5:$F$27&lt;=$A50)*(Turni!$G$5:$G$27&gt;$A50)*(Turni!$B$5:$B$27="RESP"))</f>
        <v>1</v>
      </c>
      <c r="E50" s="131" t="n">
        <f aca="false">IF($A50&lt;Parametri!B$63,0,MAX(Parametri!$B$66,IF(AND($A50&gt;=8/24,$A50&lt;21/24),INDEX(Casse!B$6:B$18,INT($A50*24)-7)+Parametri!$B$17,0)+INT((OreRichieste!B$17-Casse!B$19-Casse!B$25)*$B50/SUMIFS($B$6:$B$68,$A$6:$A$68,"&gt;="&amp;Parametri!B$63)/0.25)))</f>
        <v>5</v>
      </c>
      <c r="F50" s="132" t="str">
        <f aca="false">IF(C50&lt;E50,"KO",IF(AND(C50&gt;0,D50=0),"NO RESP","OK"))</f>
        <v>OK</v>
      </c>
      <c r="G50" s="113" t="n">
        <f aca="false">SUMPRODUCT((Turni!$I$5:$I$27&lt;=$A50)*(Turni!$J$5:$J$27&gt;$A50))</f>
        <v>5</v>
      </c>
      <c r="H50" s="113" t="n">
        <f aca="false">SUMPRODUCT((Turni!$I$5:$I$27&lt;=$A50)*(Turni!$J$5:$J$27&gt;$A50)*(Turni!$B$5:$B$27="RESP"))</f>
        <v>1</v>
      </c>
      <c r="I50" s="131" t="n">
        <f aca="false">IF($A50&lt;Parametri!C$63,0,MAX(Parametri!$B$66,IF(AND($A50&gt;=8/24,$A50&lt;21/24),INDEX(Casse!C$6:C$18,INT($A50*24)-7)+Parametri!$B$17,0)+INT((OreRichieste!C$17-Casse!C$19-Casse!C$25)*$B50/SUMIFS($B$6:$B$68,$A$6:$A$68,"&gt;="&amp;Parametri!C$63)/0.25)))</f>
        <v>5</v>
      </c>
      <c r="J50" s="132" t="str">
        <f aca="false">IF(G50&lt;I50,"KO",IF(AND(G50&gt;0,H50=0),"NO RESP","OK"))</f>
        <v>OK</v>
      </c>
      <c r="K50" s="113" t="n">
        <f aca="false">SUMPRODUCT((Turni!$L$5:$L$27&lt;=$A50)*(Turni!$M$5:$M$27&gt;$A50))</f>
        <v>5</v>
      </c>
      <c r="L50" s="113" t="n">
        <f aca="false">SUMPRODUCT((Turni!$L$5:$L$27&lt;=$A50)*(Turni!$M$5:$M$27&gt;$A50)*(Turni!$B$5:$B$27="RESP"))</f>
        <v>1</v>
      </c>
      <c r="M50" s="131" t="n">
        <f aca="false">IF($A50&lt;Parametri!D$63,0,MAX(Parametri!$B$66,IF(AND($A50&gt;=8/24,$A50&lt;21/24),INDEX(Casse!D$6:D$18,INT($A50*24)-7)+Parametri!$B$17,0)+INT((OreRichieste!D$17-Casse!D$19-Casse!D$25)*$B50/SUMIFS($B$6:$B$68,$A$6:$A$68,"&gt;="&amp;Parametri!D$63)/0.25)))</f>
        <v>5</v>
      </c>
      <c r="N50" s="132" t="str">
        <f aca="false">IF(K50&lt;M50,"KO",IF(AND(K50&gt;0,L50=0),"NO RESP","OK"))</f>
        <v>OK</v>
      </c>
      <c r="O50" s="113" t="n">
        <f aca="false">SUMPRODUCT((Turni!$O$5:$O$27&lt;=$A50)*(Turni!$P$5:$P$27&gt;$A50))</f>
        <v>5</v>
      </c>
      <c r="P50" s="113" t="n">
        <f aca="false">SUMPRODUCT((Turni!$O$5:$O$27&lt;=$A50)*(Turni!$P$5:$P$27&gt;$A50)*(Turni!$B$5:$B$27="RESP"))</f>
        <v>1</v>
      </c>
      <c r="Q50" s="131" t="n">
        <f aca="false">IF($A50&lt;Parametri!E$63,0,MAX(Parametri!$B$66,IF(AND($A50&gt;=8/24,$A50&lt;21/24),INDEX(Casse!E$6:E$18,INT($A50*24)-7)+Parametri!$B$17,0)+INT((OreRichieste!E$17-Casse!E$19-Casse!E$25)*$B50/SUMIFS($B$6:$B$68,$A$6:$A$68,"&gt;="&amp;Parametri!E$63)/0.25)))</f>
        <v>5</v>
      </c>
      <c r="R50" s="132" t="str">
        <f aca="false">IF(O50&lt;Q50,"KO",IF(AND(O50&gt;0,P50=0),"NO RESP","OK"))</f>
        <v>OK</v>
      </c>
      <c r="S50" s="113" t="n">
        <f aca="false">SUMPRODUCT((Turni!$R$5:$R$27&lt;=$A50)*(Turni!$S$5:$S$27&gt;$A50))</f>
        <v>6</v>
      </c>
      <c r="T50" s="113" t="n">
        <f aca="false">SUMPRODUCT((Turni!$R$5:$R$27&lt;=$A50)*(Turni!$S$5:$S$27&gt;$A50)*(Turni!$B$5:$B$27="RESP"))</f>
        <v>2</v>
      </c>
      <c r="U50" s="131" t="n">
        <f aca="false">IF($A50&lt;Parametri!F$63,0,MAX(Parametri!$B$66,IF(AND($A50&gt;=8/24,$A50&lt;21/24),INDEX(Casse!F$6:F$18,INT($A50*24)-7)+Parametri!$B$17,0)+INT((OreRichieste!F$17-Casse!F$19-Casse!F$25)*$B50/SUMIFS($B$6:$B$68,$A$6:$A$68,"&gt;="&amp;Parametri!F$63)/0.25)))</f>
        <v>5</v>
      </c>
      <c r="V50" s="132" t="str">
        <f aca="false">IF(S50&lt;U50,"KO",IF(AND(S50&gt;0,T50=0),"NO RESP","OK"))</f>
        <v>OK</v>
      </c>
      <c r="W50" s="113" t="n">
        <f aca="false">SUMPRODUCT((Turni!$U$5:$U$27&lt;=$A50)*(Turni!$V$5:$V$27&gt;$A50))</f>
        <v>7</v>
      </c>
      <c r="X50" s="113" t="n">
        <f aca="false">SUMPRODUCT((Turni!$U$5:$U$27&lt;=$A50)*(Turni!$V$5:$V$27&gt;$A50)*(Turni!$B$5:$B$27="RESP"))</f>
        <v>2</v>
      </c>
      <c r="Y50" s="131" t="n">
        <f aca="false">IF($A50&lt;Parametri!G$63,0,MAX(Parametri!$B$66,IF(AND($A50&gt;=8/24,$A50&lt;21/24),INDEX(Casse!G$6:G$18,INT($A50*24)-7)+Parametri!$B$17,0)+INT((OreRichieste!G$17-Casse!G$19-Casse!G$25)*$B50/SUMIFS($B$6:$B$68,$A$6:$A$68,"&gt;="&amp;Parametri!G$63)/0.25)))</f>
        <v>6</v>
      </c>
      <c r="Z50" s="132" t="str">
        <f aca="false">IF(W50&lt;Y50,"KO",IF(AND(W50&gt;0,X50=0),"NO RESP","OK"))</f>
        <v>OK</v>
      </c>
      <c r="AA50" s="113" t="n">
        <f aca="false">SUMPRODUCT((Turni!$X$5:$X$27&lt;=$A50)*(Turni!$Y$5:$Y$27&gt;$A50))</f>
        <v>5</v>
      </c>
      <c r="AB50" s="113" t="n">
        <f aca="false">SUMPRODUCT((Turni!$X$5:$X$27&lt;=$A50)*(Turni!$Y$5:$Y$27&gt;$A50)*(Turni!$B$5:$B$27="RESP"))</f>
        <v>1</v>
      </c>
      <c r="AC50" s="131" t="n">
        <f aca="false">IF($A50&lt;Parametri!H$63,0,MAX(Parametri!$B$66,IF(AND($A50&gt;=8/24,$A50&lt;21/24),INDEX(Casse!H$6:H$18,INT($A50*24)-7)+Parametri!$B$17,0)+INT((OreRichieste!H$17-Casse!H$19-Casse!H$25)*$B50/SUMIFS($B$6:$B$68,$A$6:$A$68,"&gt;="&amp;Parametri!H$63)/0.25)))</f>
        <v>5</v>
      </c>
      <c r="AD50" s="132" t="str">
        <f aca="false">IF(AA50&lt;AC50,"KO",IF(AND(AA50&gt;0,AB50=0),"NO RESP","OK"))</f>
        <v>OK</v>
      </c>
      <c r="AE50" s="133" t="s">
        <v>208</v>
      </c>
    </row>
    <row r="51" customFormat="false" ht="15" hidden="false" customHeight="true" outlineLevel="0" collapsed="false">
      <c r="A51" s="129" t="n">
        <v>0.697916666666667</v>
      </c>
      <c r="B51" s="130" t="n">
        <v>1.05</v>
      </c>
      <c r="C51" s="113" t="n">
        <f aca="false">SUMPRODUCT((Turni!$F$5:$F$27&lt;=$A51)*(Turni!$G$5:$G$27&gt;$A51))</f>
        <v>7</v>
      </c>
      <c r="D51" s="113" t="n">
        <f aca="false">SUMPRODUCT((Turni!$F$5:$F$27&lt;=$A51)*(Turni!$G$5:$G$27&gt;$A51)*(Turni!$B$5:$B$27="RESP"))</f>
        <v>2</v>
      </c>
      <c r="E51" s="131" t="n">
        <f aca="false">IF($A51&lt;Parametri!B$63,0,MAX(Parametri!$B$66,IF(AND($A51&gt;=8/24,$A51&lt;21/24),INDEX(Casse!B$6:B$18,INT($A51*24)-7)+Parametri!$B$17,0)+INT((OreRichieste!B$17-Casse!B$19-Casse!B$25)*$B51/SUMIFS($B$6:$B$68,$A$6:$A$68,"&gt;="&amp;Parametri!B$63)/0.25)))</f>
        <v>5</v>
      </c>
      <c r="F51" s="132" t="str">
        <f aca="false">IF(C51&lt;E51,"KO",IF(AND(C51&gt;0,D51=0),"NO RESP","OK"))</f>
        <v>OK</v>
      </c>
      <c r="G51" s="113" t="n">
        <f aca="false">SUMPRODUCT((Turni!$I$5:$I$27&lt;=$A51)*(Turni!$J$5:$J$27&gt;$A51))</f>
        <v>5</v>
      </c>
      <c r="H51" s="113" t="n">
        <f aca="false">SUMPRODUCT((Turni!$I$5:$I$27&lt;=$A51)*(Turni!$J$5:$J$27&gt;$A51)*(Turni!$B$5:$B$27="RESP"))</f>
        <v>1</v>
      </c>
      <c r="I51" s="131" t="n">
        <f aca="false">IF($A51&lt;Parametri!C$63,0,MAX(Parametri!$B$66,IF(AND($A51&gt;=8/24,$A51&lt;21/24),INDEX(Casse!C$6:C$18,INT($A51*24)-7)+Parametri!$B$17,0)+INT((OreRichieste!C$17-Casse!C$19-Casse!C$25)*$B51/SUMIFS($B$6:$B$68,$A$6:$A$68,"&gt;="&amp;Parametri!C$63)/0.25)))</f>
        <v>5</v>
      </c>
      <c r="J51" s="132" t="str">
        <f aca="false">IF(G51&lt;I51,"KO",IF(AND(G51&gt;0,H51=0),"NO RESP","OK"))</f>
        <v>OK</v>
      </c>
      <c r="K51" s="113" t="n">
        <f aca="false">SUMPRODUCT((Turni!$L$5:$L$27&lt;=$A51)*(Turni!$M$5:$M$27&gt;$A51))</f>
        <v>5</v>
      </c>
      <c r="L51" s="113" t="n">
        <f aca="false">SUMPRODUCT((Turni!$L$5:$L$27&lt;=$A51)*(Turni!$M$5:$M$27&gt;$A51)*(Turni!$B$5:$B$27="RESP"))</f>
        <v>1</v>
      </c>
      <c r="M51" s="131" t="n">
        <f aca="false">IF($A51&lt;Parametri!D$63,0,MAX(Parametri!$B$66,IF(AND($A51&gt;=8/24,$A51&lt;21/24),INDEX(Casse!D$6:D$18,INT($A51*24)-7)+Parametri!$B$17,0)+INT((OreRichieste!D$17-Casse!D$19-Casse!D$25)*$B51/SUMIFS($B$6:$B$68,$A$6:$A$68,"&gt;="&amp;Parametri!D$63)/0.25)))</f>
        <v>5</v>
      </c>
      <c r="N51" s="132" t="str">
        <f aca="false">IF(K51&lt;M51,"KO",IF(AND(K51&gt;0,L51=0),"NO RESP","OK"))</f>
        <v>OK</v>
      </c>
      <c r="O51" s="113" t="n">
        <f aca="false">SUMPRODUCT((Turni!$O$5:$O$27&lt;=$A51)*(Turni!$P$5:$P$27&gt;$A51))</f>
        <v>5</v>
      </c>
      <c r="P51" s="113" t="n">
        <f aca="false">SUMPRODUCT((Turni!$O$5:$O$27&lt;=$A51)*(Turni!$P$5:$P$27&gt;$A51)*(Turni!$B$5:$B$27="RESP"))</f>
        <v>1</v>
      </c>
      <c r="Q51" s="131" t="n">
        <f aca="false">IF($A51&lt;Parametri!E$63,0,MAX(Parametri!$B$66,IF(AND($A51&gt;=8/24,$A51&lt;21/24),INDEX(Casse!E$6:E$18,INT($A51*24)-7)+Parametri!$B$17,0)+INT((OreRichieste!E$17-Casse!E$19-Casse!E$25)*$B51/SUMIFS($B$6:$B$68,$A$6:$A$68,"&gt;="&amp;Parametri!E$63)/0.25)))</f>
        <v>5</v>
      </c>
      <c r="R51" s="132" t="str">
        <f aca="false">IF(O51&lt;Q51,"KO",IF(AND(O51&gt;0,P51=0),"NO RESP","OK"))</f>
        <v>OK</v>
      </c>
      <c r="S51" s="113" t="n">
        <f aca="false">SUMPRODUCT((Turni!$R$5:$R$27&lt;=$A51)*(Turni!$S$5:$S$27&gt;$A51))</f>
        <v>6</v>
      </c>
      <c r="T51" s="113" t="n">
        <f aca="false">SUMPRODUCT((Turni!$R$5:$R$27&lt;=$A51)*(Turni!$S$5:$S$27&gt;$A51)*(Turni!$B$5:$B$27="RESP"))</f>
        <v>2</v>
      </c>
      <c r="U51" s="131" t="n">
        <f aca="false">IF($A51&lt;Parametri!F$63,0,MAX(Parametri!$B$66,IF(AND($A51&gt;=8/24,$A51&lt;21/24),INDEX(Casse!F$6:F$18,INT($A51*24)-7)+Parametri!$B$17,0)+INT((OreRichieste!F$17-Casse!F$19-Casse!F$25)*$B51/SUMIFS($B$6:$B$68,$A$6:$A$68,"&gt;="&amp;Parametri!F$63)/0.25)))</f>
        <v>5</v>
      </c>
      <c r="V51" s="132" t="str">
        <f aca="false">IF(S51&lt;U51,"KO",IF(AND(S51&gt;0,T51=0),"NO RESP","OK"))</f>
        <v>OK</v>
      </c>
      <c r="W51" s="113" t="n">
        <f aca="false">SUMPRODUCT((Turni!$U$5:$U$27&lt;=$A51)*(Turni!$V$5:$V$27&gt;$A51))</f>
        <v>7</v>
      </c>
      <c r="X51" s="113" t="n">
        <f aca="false">SUMPRODUCT((Turni!$U$5:$U$27&lt;=$A51)*(Turni!$V$5:$V$27&gt;$A51)*(Turni!$B$5:$B$27="RESP"))</f>
        <v>2</v>
      </c>
      <c r="Y51" s="131" t="n">
        <f aca="false">IF($A51&lt;Parametri!G$63,0,MAX(Parametri!$B$66,IF(AND($A51&gt;=8/24,$A51&lt;21/24),INDEX(Casse!G$6:G$18,INT($A51*24)-7)+Parametri!$B$17,0)+INT((OreRichieste!G$17-Casse!G$19-Casse!G$25)*$B51/SUMIFS($B$6:$B$68,$A$6:$A$68,"&gt;="&amp;Parametri!G$63)/0.25)))</f>
        <v>6</v>
      </c>
      <c r="Z51" s="132" t="str">
        <f aca="false">IF(W51&lt;Y51,"KO",IF(AND(W51&gt;0,X51=0),"NO RESP","OK"))</f>
        <v>OK</v>
      </c>
      <c r="AA51" s="113" t="n">
        <f aca="false">SUMPRODUCT((Turni!$X$5:$X$27&lt;=$A51)*(Turni!$Y$5:$Y$27&gt;$A51))</f>
        <v>5</v>
      </c>
      <c r="AB51" s="113" t="n">
        <f aca="false">SUMPRODUCT((Turni!$X$5:$X$27&lt;=$A51)*(Turni!$Y$5:$Y$27&gt;$A51)*(Turni!$B$5:$B$27="RESP"))</f>
        <v>1</v>
      </c>
      <c r="AC51" s="131" t="n">
        <f aca="false">IF($A51&lt;Parametri!H$63,0,MAX(Parametri!$B$66,IF(AND($A51&gt;=8/24,$A51&lt;21/24),INDEX(Casse!H$6:H$18,INT($A51*24)-7)+Parametri!$B$17,0)+INT((OreRichieste!H$17-Casse!H$19-Casse!H$25)*$B51/SUMIFS($B$6:$B$68,$A$6:$A$68,"&gt;="&amp;Parametri!H$63)/0.25)))</f>
        <v>5</v>
      </c>
      <c r="AD51" s="132" t="str">
        <f aca="false">IF(AA51&lt;AC51,"KO",IF(AND(AA51&gt;0,AB51=0),"NO RESP","OK"))</f>
        <v>OK</v>
      </c>
      <c r="AE51" s="133" t="s">
        <v>209</v>
      </c>
    </row>
    <row r="52" customFormat="false" ht="15" hidden="false" customHeight="true" outlineLevel="0" collapsed="false">
      <c r="A52" s="129" t="n">
        <v>0.708333333333333</v>
      </c>
      <c r="B52" s="130" t="n">
        <v>1.05</v>
      </c>
      <c r="C52" s="113" t="n">
        <f aca="false">SUMPRODUCT((Turni!$F$5:$F$27&lt;=$A52)*(Turni!$G$5:$G$27&gt;$A52))</f>
        <v>6</v>
      </c>
      <c r="D52" s="113" t="n">
        <f aca="false">SUMPRODUCT((Turni!$F$5:$F$27&lt;=$A52)*(Turni!$G$5:$G$27&gt;$A52)*(Turni!$B$5:$B$27="RESP"))</f>
        <v>2</v>
      </c>
      <c r="E52" s="131" t="n">
        <f aca="false">IF($A52&lt;Parametri!B$63,0,MAX(Parametri!$B$66,IF(AND($A52&gt;=8/24,$A52&lt;21/24),INDEX(Casse!B$6:B$18,INT($A52*24)-7)+Parametri!$B$17,0)+INT((OreRichieste!B$17-Casse!B$19-Casse!B$25)*$B52/SUMIFS($B$6:$B$68,$A$6:$A$68,"&gt;="&amp;Parametri!B$63)/0.25)))</f>
        <v>5</v>
      </c>
      <c r="F52" s="132" t="str">
        <f aca="false">IF(C52&lt;E52,"KO",IF(AND(C52&gt;0,D52=0),"NO RESP","OK"))</f>
        <v>OK</v>
      </c>
      <c r="G52" s="113" t="n">
        <f aca="false">SUMPRODUCT((Turni!$I$5:$I$27&lt;=$A52)*(Turni!$J$5:$J$27&gt;$A52))</f>
        <v>5</v>
      </c>
      <c r="H52" s="113" t="n">
        <f aca="false">SUMPRODUCT((Turni!$I$5:$I$27&lt;=$A52)*(Turni!$J$5:$J$27&gt;$A52)*(Turni!$B$5:$B$27="RESP"))</f>
        <v>1</v>
      </c>
      <c r="I52" s="131" t="n">
        <f aca="false">IF($A52&lt;Parametri!C$63,0,MAX(Parametri!$B$66,IF(AND($A52&gt;=8/24,$A52&lt;21/24),INDEX(Casse!C$6:C$18,INT($A52*24)-7)+Parametri!$B$17,0)+INT((OreRichieste!C$17-Casse!C$19-Casse!C$25)*$B52/SUMIFS($B$6:$B$68,$A$6:$A$68,"&gt;="&amp;Parametri!C$63)/0.25)))</f>
        <v>5</v>
      </c>
      <c r="J52" s="132" t="str">
        <f aca="false">IF(G52&lt;I52,"KO",IF(AND(G52&gt;0,H52=0),"NO RESP","OK"))</f>
        <v>OK</v>
      </c>
      <c r="K52" s="113" t="n">
        <f aca="false">SUMPRODUCT((Turni!$L$5:$L$27&lt;=$A52)*(Turni!$M$5:$M$27&gt;$A52))</f>
        <v>5</v>
      </c>
      <c r="L52" s="113" t="n">
        <f aca="false">SUMPRODUCT((Turni!$L$5:$L$27&lt;=$A52)*(Turni!$M$5:$M$27&gt;$A52)*(Turni!$B$5:$B$27="RESP"))</f>
        <v>1</v>
      </c>
      <c r="M52" s="131" t="n">
        <f aca="false">IF($A52&lt;Parametri!D$63,0,MAX(Parametri!$B$66,IF(AND($A52&gt;=8/24,$A52&lt;21/24),INDEX(Casse!D$6:D$18,INT($A52*24)-7)+Parametri!$B$17,0)+INT((OreRichieste!D$17-Casse!D$19-Casse!D$25)*$B52/SUMIFS($B$6:$B$68,$A$6:$A$68,"&gt;="&amp;Parametri!D$63)/0.25)))</f>
        <v>5</v>
      </c>
      <c r="N52" s="132" t="str">
        <f aca="false">IF(K52&lt;M52,"KO",IF(AND(K52&gt;0,L52=0),"NO RESP","OK"))</f>
        <v>OK</v>
      </c>
      <c r="O52" s="113" t="n">
        <f aca="false">SUMPRODUCT((Turni!$O$5:$O$27&lt;=$A52)*(Turni!$P$5:$P$27&gt;$A52))</f>
        <v>5</v>
      </c>
      <c r="P52" s="113" t="n">
        <f aca="false">SUMPRODUCT((Turni!$O$5:$O$27&lt;=$A52)*(Turni!$P$5:$P$27&gt;$A52)*(Turni!$B$5:$B$27="RESP"))</f>
        <v>1</v>
      </c>
      <c r="Q52" s="131" t="n">
        <f aca="false">IF($A52&lt;Parametri!E$63,0,MAX(Parametri!$B$66,IF(AND($A52&gt;=8/24,$A52&lt;21/24),INDEX(Casse!E$6:E$18,INT($A52*24)-7)+Parametri!$B$17,0)+INT((OreRichieste!E$17-Casse!E$19-Casse!E$25)*$B52/SUMIFS($B$6:$B$68,$A$6:$A$68,"&gt;="&amp;Parametri!E$63)/0.25)))</f>
        <v>5</v>
      </c>
      <c r="R52" s="132" t="str">
        <f aca="false">IF(O52&lt;Q52,"KO",IF(AND(O52&gt;0,P52=0),"NO RESP","OK"))</f>
        <v>OK</v>
      </c>
      <c r="S52" s="113" t="n">
        <f aca="false">SUMPRODUCT((Turni!$R$5:$R$27&lt;=$A52)*(Turni!$S$5:$S$27&gt;$A52))</f>
        <v>6</v>
      </c>
      <c r="T52" s="113" t="n">
        <f aca="false">SUMPRODUCT((Turni!$R$5:$R$27&lt;=$A52)*(Turni!$S$5:$S$27&gt;$A52)*(Turni!$B$5:$B$27="RESP"))</f>
        <v>2</v>
      </c>
      <c r="U52" s="131" t="n">
        <f aca="false">IF($A52&lt;Parametri!F$63,0,MAX(Parametri!$B$66,IF(AND($A52&gt;=8/24,$A52&lt;21/24),INDEX(Casse!F$6:F$18,INT($A52*24)-7)+Parametri!$B$17,0)+INT((OreRichieste!F$17-Casse!F$19-Casse!F$25)*$B52/SUMIFS($B$6:$B$68,$A$6:$A$68,"&gt;="&amp;Parametri!F$63)/0.25)))</f>
        <v>6</v>
      </c>
      <c r="V52" s="132" t="str">
        <f aca="false">IF(S52&lt;U52,"KO",IF(AND(S52&gt;0,T52=0),"NO RESP","OK"))</f>
        <v>OK</v>
      </c>
      <c r="W52" s="113" t="n">
        <f aca="false">SUMPRODUCT((Turni!$U$5:$U$27&lt;=$A52)*(Turni!$V$5:$V$27&gt;$A52))</f>
        <v>6</v>
      </c>
      <c r="X52" s="113" t="n">
        <f aca="false">SUMPRODUCT((Turni!$U$5:$U$27&lt;=$A52)*(Turni!$V$5:$V$27&gt;$A52)*(Turni!$B$5:$B$27="RESP"))</f>
        <v>1</v>
      </c>
      <c r="Y52" s="131" t="n">
        <f aca="false">IF($A52&lt;Parametri!G$63,0,MAX(Parametri!$B$66,IF(AND($A52&gt;=8/24,$A52&lt;21/24),INDEX(Casse!G$6:G$18,INT($A52*24)-7)+Parametri!$B$17,0)+INT((OreRichieste!G$17-Casse!G$19-Casse!G$25)*$B52/SUMIFS($B$6:$B$68,$A$6:$A$68,"&gt;="&amp;Parametri!G$63)/0.25)))</f>
        <v>6</v>
      </c>
      <c r="Z52" s="132" t="str">
        <f aca="false">IF(W52&lt;Y52,"KO",IF(AND(W52&gt;0,X52=0),"NO RESP","OK"))</f>
        <v>OK</v>
      </c>
      <c r="AA52" s="113" t="n">
        <f aca="false">SUMPRODUCT((Turni!$X$5:$X$27&lt;=$A52)*(Turni!$Y$5:$Y$27&gt;$A52))</f>
        <v>5</v>
      </c>
      <c r="AB52" s="113" t="n">
        <f aca="false">SUMPRODUCT((Turni!$X$5:$X$27&lt;=$A52)*(Turni!$Y$5:$Y$27&gt;$A52)*(Turni!$B$5:$B$27="RESP"))</f>
        <v>1</v>
      </c>
      <c r="AC52" s="131" t="n">
        <f aca="false">IF($A52&lt;Parametri!H$63,0,MAX(Parametri!$B$66,IF(AND($A52&gt;=8/24,$A52&lt;21/24),INDEX(Casse!H$6:H$18,INT($A52*24)-7)+Parametri!$B$17,0)+INT((OreRichieste!H$17-Casse!H$19-Casse!H$25)*$B52/SUMIFS($B$6:$B$68,$A$6:$A$68,"&gt;="&amp;Parametri!H$63)/0.25)))</f>
        <v>5</v>
      </c>
      <c r="AD52" s="132" t="str">
        <f aca="false">IF(AA52&lt;AC52,"KO",IF(AND(AA52&gt;0,AB52=0),"NO RESP","OK"))</f>
        <v>OK</v>
      </c>
      <c r="AE52" s="133" t="s">
        <v>210</v>
      </c>
    </row>
    <row r="53" customFormat="false" ht="15" hidden="false" customHeight="true" outlineLevel="0" collapsed="false">
      <c r="A53" s="129" t="n">
        <v>0.71875</v>
      </c>
      <c r="B53" s="130" t="n">
        <v>1.05</v>
      </c>
      <c r="C53" s="113" t="n">
        <f aca="false">SUMPRODUCT((Turni!$F$5:$F$27&lt;=$A53)*(Turni!$G$5:$G$27&gt;$A53))</f>
        <v>6</v>
      </c>
      <c r="D53" s="113" t="n">
        <f aca="false">SUMPRODUCT((Turni!$F$5:$F$27&lt;=$A53)*(Turni!$G$5:$G$27&gt;$A53)*(Turni!$B$5:$B$27="RESP"))</f>
        <v>2</v>
      </c>
      <c r="E53" s="131" t="n">
        <f aca="false">IF($A53&lt;Parametri!B$63,0,MAX(Parametri!$B$66,IF(AND($A53&gt;=8/24,$A53&lt;21/24),INDEX(Casse!B$6:B$18,INT($A53*24)-7)+Parametri!$B$17,0)+INT((OreRichieste!B$17-Casse!B$19-Casse!B$25)*$B53/SUMIFS($B$6:$B$68,$A$6:$A$68,"&gt;="&amp;Parametri!B$63)/0.25)))</f>
        <v>5</v>
      </c>
      <c r="F53" s="132" t="str">
        <f aca="false">IF(C53&lt;E53,"KO",IF(AND(C53&gt;0,D53=0),"NO RESP","OK"))</f>
        <v>OK</v>
      </c>
      <c r="G53" s="113" t="n">
        <f aca="false">SUMPRODUCT((Turni!$I$5:$I$27&lt;=$A53)*(Turni!$J$5:$J$27&gt;$A53))</f>
        <v>5</v>
      </c>
      <c r="H53" s="113" t="n">
        <f aca="false">SUMPRODUCT((Turni!$I$5:$I$27&lt;=$A53)*(Turni!$J$5:$J$27&gt;$A53)*(Turni!$B$5:$B$27="RESP"))</f>
        <v>1</v>
      </c>
      <c r="I53" s="131" t="n">
        <f aca="false">IF($A53&lt;Parametri!C$63,0,MAX(Parametri!$B$66,IF(AND($A53&gt;=8/24,$A53&lt;21/24),INDEX(Casse!C$6:C$18,INT($A53*24)-7)+Parametri!$B$17,0)+INT((OreRichieste!C$17-Casse!C$19-Casse!C$25)*$B53/SUMIFS($B$6:$B$68,$A$6:$A$68,"&gt;="&amp;Parametri!C$63)/0.25)))</f>
        <v>5</v>
      </c>
      <c r="J53" s="132" t="str">
        <f aca="false">IF(G53&lt;I53,"KO",IF(AND(G53&gt;0,H53=0),"NO RESP","OK"))</f>
        <v>OK</v>
      </c>
      <c r="K53" s="113" t="n">
        <f aca="false">SUMPRODUCT((Turni!$L$5:$L$27&lt;=$A53)*(Turni!$M$5:$M$27&gt;$A53))</f>
        <v>6</v>
      </c>
      <c r="L53" s="113" t="n">
        <f aca="false">SUMPRODUCT((Turni!$L$5:$L$27&lt;=$A53)*(Turni!$M$5:$M$27&gt;$A53)*(Turni!$B$5:$B$27="RESP"))</f>
        <v>2</v>
      </c>
      <c r="M53" s="131" t="n">
        <f aca="false">IF($A53&lt;Parametri!D$63,0,MAX(Parametri!$B$66,IF(AND($A53&gt;=8/24,$A53&lt;21/24),INDEX(Casse!D$6:D$18,INT($A53*24)-7)+Parametri!$B$17,0)+INT((OreRichieste!D$17-Casse!D$19-Casse!D$25)*$B53/SUMIFS($B$6:$B$68,$A$6:$A$68,"&gt;="&amp;Parametri!D$63)/0.25)))</f>
        <v>5</v>
      </c>
      <c r="N53" s="132" t="str">
        <f aca="false">IF(K53&lt;M53,"KO",IF(AND(K53&gt;0,L53=0),"NO RESP","OK"))</f>
        <v>OK</v>
      </c>
      <c r="O53" s="113" t="n">
        <f aca="false">SUMPRODUCT((Turni!$O$5:$O$27&lt;=$A53)*(Turni!$P$5:$P$27&gt;$A53))</f>
        <v>6</v>
      </c>
      <c r="P53" s="113" t="n">
        <f aca="false">SUMPRODUCT((Turni!$O$5:$O$27&lt;=$A53)*(Turni!$P$5:$P$27&gt;$A53)*(Turni!$B$5:$B$27="RESP"))</f>
        <v>2</v>
      </c>
      <c r="Q53" s="131" t="n">
        <f aca="false">IF($A53&lt;Parametri!E$63,0,MAX(Parametri!$B$66,IF(AND($A53&gt;=8/24,$A53&lt;21/24),INDEX(Casse!E$6:E$18,INT($A53*24)-7)+Parametri!$B$17,0)+INT((OreRichieste!E$17-Casse!E$19-Casse!E$25)*$B53/SUMIFS($B$6:$B$68,$A$6:$A$68,"&gt;="&amp;Parametri!E$63)/0.25)))</f>
        <v>5</v>
      </c>
      <c r="R53" s="132" t="str">
        <f aca="false">IF(O53&lt;Q53,"KO",IF(AND(O53&gt;0,P53=0),"NO RESP","OK"))</f>
        <v>OK</v>
      </c>
      <c r="S53" s="113" t="n">
        <f aca="false">SUMPRODUCT((Turni!$R$5:$R$27&lt;=$A53)*(Turni!$S$5:$S$27&gt;$A53))</f>
        <v>6</v>
      </c>
      <c r="T53" s="113" t="n">
        <f aca="false">SUMPRODUCT((Turni!$R$5:$R$27&lt;=$A53)*(Turni!$S$5:$S$27&gt;$A53)*(Turni!$B$5:$B$27="RESP"))</f>
        <v>2</v>
      </c>
      <c r="U53" s="131" t="n">
        <f aca="false">IF($A53&lt;Parametri!F$63,0,MAX(Parametri!$B$66,IF(AND($A53&gt;=8/24,$A53&lt;21/24),INDEX(Casse!F$6:F$18,INT($A53*24)-7)+Parametri!$B$17,0)+INT((OreRichieste!F$17-Casse!F$19-Casse!F$25)*$B53/SUMIFS($B$6:$B$68,$A$6:$A$68,"&gt;="&amp;Parametri!F$63)/0.25)))</f>
        <v>6</v>
      </c>
      <c r="V53" s="132" t="str">
        <f aca="false">IF(S53&lt;U53,"KO",IF(AND(S53&gt;0,T53=0),"NO RESP","OK"))</f>
        <v>OK</v>
      </c>
      <c r="W53" s="113" t="n">
        <f aca="false">SUMPRODUCT((Turni!$U$5:$U$27&lt;=$A53)*(Turni!$V$5:$V$27&gt;$A53))</f>
        <v>7</v>
      </c>
      <c r="X53" s="113" t="n">
        <f aca="false">SUMPRODUCT((Turni!$U$5:$U$27&lt;=$A53)*(Turni!$V$5:$V$27&gt;$A53)*(Turni!$B$5:$B$27="RESP"))</f>
        <v>2</v>
      </c>
      <c r="Y53" s="131" t="n">
        <f aca="false">IF($A53&lt;Parametri!G$63,0,MAX(Parametri!$B$66,IF(AND($A53&gt;=8/24,$A53&lt;21/24),INDEX(Casse!G$6:G$18,INT($A53*24)-7)+Parametri!$B$17,0)+INT((OreRichieste!G$17-Casse!G$19-Casse!G$25)*$B53/SUMIFS($B$6:$B$68,$A$6:$A$68,"&gt;="&amp;Parametri!G$63)/0.25)))</f>
        <v>6</v>
      </c>
      <c r="Z53" s="132" t="str">
        <f aca="false">IF(W53&lt;Y53,"KO",IF(AND(W53&gt;0,X53=0),"NO RESP","OK"))</f>
        <v>OK</v>
      </c>
      <c r="AA53" s="113" t="n">
        <f aca="false">SUMPRODUCT((Turni!$X$5:$X$27&lt;=$A53)*(Turni!$Y$5:$Y$27&gt;$A53))</f>
        <v>5</v>
      </c>
      <c r="AB53" s="113" t="n">
        <f aca="false">SUMPRODUCT((Turni!$X$5:$X$27&lt;=$A53)*(Turni!$Y$5:$Y$27&gt;$A53)*(Turni!$B$5:$B$27="RESP"))</f>
        <v>1</v>
      </c>
      <c r="AC53" s="131" t="n">
        <f aca="false">IF($A53&lt;Parametri!H$63,0,MAX(Parametri!$B$66,IF(AND($A53&gt;=8/24,$A53&lt;21/24),INDEX(Casse!H$6:H$18,INT($A53*24)-7)+Parametri!$B$17,0)+INT((OreRichieste!H$17-Casse!H$19-Casse!H$25)*$B53/SUMIFS($B$6:$B$68,$A$6:$A$68,"&gt;="&amp;Parametri!H$63)/0.25)))</f>
        <v>5</v>
      </c>
      <c r="AD53" s="132" t="str">
        <f aca="false">IF(AA53&lt;AC53,"KO",IF(AND(AA53&gt;0,AB53=0),"NO RESP","OK"))</f>
        <v>OK</v>
      </c>
      <c r="AE53" s="133" t="s">
        <v>211</v>
      </c>
    </row>
    <row r="54" customFormat="false" ht="15" hidden="false" customHeight="true" outlineLevel="0" collapsed="false">
      <c r="A54" s="129" t="n">
        <v>0.729166666666667</v>
      </c>
      <c r="B54" s="130" t="n">
        <v>1.05</v>
      </c>
      <c r="C54" s="113" t="n">
        <f aca="false">SUMPRODUCT((Turni!$F$5:$F$27&lt;=$A54)*(Turni!$G$5:$G$27&gt;$A54))</f>
        <v>6</v>
      </c>
      <c r="D54" s="113" t="n">
        <f aca="false">SUMPRODUCT((Turni!$F$5:$F$27&lt;=$A54)*(Turni!$G$5:$G$27&gt;$A54)*(Turni!$B$5:$B$27="RESP"))</f>
        <v>2</v>
      </c>
      <c r="E54" s="131" t="n">
        <f aca="false">IF($A54&lt;Parametri!B$63,0,MAX(Parametri!$B$66,IF(AND($A54&gt;=8/24,$A54&lt;21/24),INDEX(Casse!B$6:B$18,INT($A54*24)-7)+Parametri!$B$17,0)+INT((OreRichieste!B$17-Casse!B$19-Casse!B$25)*$B54/SUMIFS($B$6:$B$68,$A$6:$A$68,"&gt;="&amp;Parametri!B$63)/0.25)))</f>
        <v>5</v>
      </c>
      <c r="F54" s="132" t="str">
        <f aca="false">IF(C54&lt;E54,"KO",IF(AND(C54&gt;0,D54=0),"NO RESP","OK"))</f>
        <v>OK</v>
      </c>
      <c r="G54" s="113" t="n">
        <f aca="false">SUMPRODUCT((Turni!$I$5:$I$27&lt;=$A54)*(Turni!$J$5:$J$27&gt;$A54))</f>
        <v>5</v>
      </c>
      <c r="H54" s="113" t="n">
        <f aca="false">SUMPRODUCT((Turni!$I$5:$I$27&lt;=$A54)*(Turni!$J$5:$J$27&gt;$A54)*(Turni!$B$5:$B$27="RESP"))</f>
        <v>1</v>
      </c>
      <c r="I54" s="131" t="n">
        <f aca="false">IF($A54&lt;Parametri!C$63,0,MAX(Parametri!$B$66,IF(AND($A54&gt;=8/24,$A54&lt;21/24),INDEX(Casse!C$6:C$18,INT($A54*24)-7)+Parametri!$B$17,0)+INT((OreRichieste!C$17-Casse!C$19-Casse!C$25)*$B54/SUMIFS($B$6:$B$68,$A$6:$A$68,"&gt;="&amp;Parametri!C$63)/0.25)))</f>
        <v>5</v>
      </c>
      <c r="J54" s="132" t="str">
        <f aca="false">IF(G54&lt;I54,"KO",IF(AND(G54&gt;0,H54=0),"NO RESP","OK"))</f>
        <v>OK</v>
      </c>
      <c r="K54" s="113" t="n">
        <f aca="false">SUMPRODUCT((Turni!$L$5:$L$27&lt;=$A54)*(Turni!$M$5:$M$27&gt;$A54))</f>
        <v>5</v>
      </c>
      <c r="L54" s="113" t="n">
        <f aca="false">SUMPRODUCT((Turni!$L$5:$L$27&lt;=$A54)*(Turni!$M$5:$M$27&gt;$A54)*(Turni!$B$5:$B$27="RESP"))</f>
        <v>1</v>
      </c>
      <c r="M54" s="131" t="n">
        <f aca="false">IF($A54&lt;Parametri!D$63,0,MAX(Parametri!$B$66,IF(AND($A54&gt;=8/24,$A54&lt;21/24),INDEX(Casse!D$6:D$18,INT($A54*24)-7)+Parametri!$B$17,0)+INT((OreRichieste!D$17-Casse!D$19-Casse!D$25)*$B54/SUMIFS($B$6:$B$68,$A$6:$A$68,"&gt;="&amp;Parametri!D$63)/0.25)))</f>
        <v>5</v>
      </c>
      <c r="N54" s="132" t="str">
        <f aca="false">IF(K54&lt;M54,"KO",IF(AND(K54&gt;0,L54=0),"NO RESP","OK"))</f>
        <v>OK</v>
      </c>
      <c r="O54" s="113" t="n">
        <f aca="false">SUMPRODUCT((Turni!$O$5:$O$27&lt;=$A54)*(Turni!$P$5:$P$27&gt;$A54))</f>
        <v>6</v>
      </c>
      <c r="P54" s="113" t="n">
        <f aca="false">SUMPRODUCT((Turni!$O$5:$O$27&lt;=$A54)*(Turni!$P$5:$P$27&gt;$A54)*(Turni!$B$5:$B$27="RESP"))</f>
        <v>2</v>
      </c>
      <c r="Q54" s="131" t="n">
        <f aca="false">IF($A54&lt;Parametri!E$63,0,MAX(Parametri!$B$66,IF(AND($A54&gt;=8/24,$A54&lt;21/24),INDEX(Casse!E$6:E$18,INT($A54*24)-7)+Parametri!$B$17,0)+INT((OreRichieste!E$17-Casse!E$19-Casse!E$25)*$B54/SUMIFS($B$6:$B$68,$A$6:$A$68,"&gt;="&amp;Parametri!E$63)/0.25)))</f>
        <v>5</v>
      </c>
      <c r="R54" s="132" t="str">
        <f aca="false">IF(O54&lt;Q54,"KO",IF(AND(O54&gt;0,P54=0),"NO RESP","OK"))</f>
        <v>OK</v>
      </c>
      <c r="S54" s="113" t="n">
        <f aca="false">SUMPRODUCT((Turni!$R$5:$R$27&lt;=$A54)*(Turni!$S$5:$S$27&gt;$A54))</f>
        <v>6</v>
      </c>
      <c r="T54" s="113" t="n">
        <f aca="false">SUMPRODUCT((Turni!$R$5:$R$27&lt;=$A54)*(Turni!$S$5:$S$27&gt;$A54)*(Turni!$B$5:$B$27="RESP"))</f>
        <v>2</v>
      </c>
      <c r="U54" s="131" t="n">
        <f aca="false">IF($A54&lt;Parametri!F$63,0,MAX(Parametri!$B$66,IF(AND($A54&gt;=8/24,$A54&lt;21/24),INDEX(Casse!F$6:F$18,INT($A54*24)-7)+Parametri!$B$17,0)+INT((OreRichieste!F$17-Casse!F$19-Casse!F$25)*$B54/SUMIFS($B$6:$B$68,$A$6:$A$68,"&gt;="&amp;Parametri!F$63)/0.25)))</f>
        <v>6</v>
      </c>
      <c r="V54" s="132" t="str">
        <f aca="false">IF(S54&lt;U54,"KO",IF(AND(S54&gt;0,T54=0),"NO RESP","OK"))</f>
        <v>OK</v>
      </c>
      <c r="W54" s="113" t="n">
        <f aca="false">SUMPRODUCT((Turni!$U$5:$U$27&lt;=$A54)*(Turni!$V$5:$V$27&gt;$A54))</f>
        <v>7</v>
      </c>
      <c r="X54" s="113" t="n">
        <f aca="false">SUMPRODUCT((Turni!$U$5:$U$27&lt;=$A54)*(Turni!$V$5:$V$27&gt;$A54)*(Turni!$B$5:$B$27="RESP"))</f>
        <v>2</v>
      </c>
      <c r="Y54" s="131" t="n">
        <f aca="false">IF($A54&lt;Parametri!G$63,0,MAX(Parametri!$B$66,IF(AND($A54&gt;=8/24,$A54&lt;21/24),INDEX(Casse!G$6:G$18,INT($A54*24)-7)+Parametri!$B$17,0)+INT((OreRichieste!G$17-Casse!G$19-Casse!G$25)*$B54/SUMIFS($B$6:$B$68,$A$6:$A$68,"&gt;="&amp;Parametri!G$63)/0.25)))</f>
        <v>6</v>
      </c>
      <c r="Z54" s="132" t="str">
        <f aca="false">IF(W54&lt;Y54,"KO",IF(AND(W54&gt;0,X54=0),"NO RESP","OK"))</f>
        <v>OK</v>
      </c>
      <c r="AA54" s="113" t="n">
        <f aca="false">SUMPRODUCT((Turni!$X$5:$X$27&lt;=$A54)*(Turni!$Y$5:$Y$27&gt;$A54))</f>
        <v>5</v>
      </c>
      <c r="AB54" s="113" t="n">
        <f aca="false">SUMPRODUCT((Turni!$X$5:$X$27&lt;=$A54)*(Turni!$Y$5:$Y$27&gt;$A54)*(Turni!$B$5:$B$27="RESP"))</f>
        <v>1</v>
      </c>
      <c r="AC54" s="131" t="n">
        <f aca="false">IF($A54&lt;Parametri!H$63,0,MAX(Parametri!$B$66,IF(AND($A54&gt;=8/24,$A54&lt;21/24),INDEX(Casse!H$6:H$18,INT($A54*24)-7)+Parametri!$B$17,0)+INT((OreRichieste!H$17-Casse!H$19-Casse!H$25)*$B54/SUMIFS($B$6:$B$68,$A$6:$A$68,"&gt;="&amp;Parametri!H$63)/0.25)))</f>
        <v>5</v>
      </c>
      <c r="AD54" s="132" t="str">
        <f aca="false">IF(AA54&lt;AC54,"KO",IF(AND(AA54&gt;0,AB54=0),"NO RESP","OK"))</f>
        <v>OK</v>
      </c>
      <c r="AE54" s="133" t="s">
        <v>212</v>
      </c>
    </row>
    <row r="55" customFormat="false" ht="15" hidden="false" customHeight="true" outlineLevel="0" collapsed="false">
      <c r="A55" s="129" t="n">
        <v>0.739583333333333</v>
      </c>
      <c r="B55" s="130" t="n">
        <v>1.05</v>
      </c>
      <c r="C55" s="113" t="n">
        <f aca="false">SUMPRODUCT((Turni!$F$5:$F$27&lt;=$A55)*(Turni!$G$5:$G$27&gt;$A55))</f>
        <v>6</v>
      </c>
      <c r="D55" s="113" t="n">
        <f aca="false">SUMPRODUCT((Turni!$F$5:$F$27&lt;=$A55)*(Turni!$G$5:$G$27&gt;$A55)*(Turni!$B$5:$B$27="RESP"))</f>
        <v>2</v>
      </c>
      <c r="E55" s="131" t="n">
        <f aca="false">IF($A55&lt;Parametri!B$63,0,MAX(Parametri!$B$66,IF(AND($A55&gt;=8/24,$A55&lt;21/24),INDEX(Casse!B$6:B$18,INT($A55*24)-7)+Parametri!$B$17,0)+INT((OreRichieste!B$17-Casse!B$19-Casse!B$25)*$B55/SUMIFS($B$6:$B$68,$A$6:$A$68,"&gt;="&amp;Parametri!B$63)/0.25)))</f>
        <v>5</v>
      </c>
      <c r="F55" s="132" t="str">
        <f aca="false">IF(C55&lt;E55,"KO",IF(AND(C55&gt;0,D55=0),"NO RESP","OK"))</f>
        <v>OK</v>
      </c>
      <c r="G55" s="113" t="n">
        <f aca="false">SUMPRODUCT((Turni!$I$5:$I$27&lt;=$A55)*(Turni!$J$5:$J$27&gt;$A55))</f>
        <v>5</v>
      </c>
      <c r="H55" s="113" t="n">
        <f aca="false">SUMPRODUCT((Turni!$I$5:$I$27&lt;=$A55)*(Turni!$J$5:$J$27&gt;$A55)*(Turni!$B$5:$B$27="RESP"))</f>
        <v>1</v>
      </c>
      <c r="I55" s="131" t="n">
        <f aca="false">IF($A55&lt;Parametri!C$63,0,MAX(Parametri!$B$66,IF(AND($A55&gt;=8/24,$A55&lt;21/24),INDEX(Casse!C$6:C$18,INT($A55*24)-7)+Parametri!$B$17,0)+INT((OreRichieste!C$17-Casse!C$19-Casse!C$25)*$B55/SUMIFS($B$6:$B$68,$A$6:$A$68,"&gt;="&amp;Parametri!C$63)/0.25)))</f>
        <v>5</v>
      </c>
      <c r="J55" s="132" t="str">
        <f aca="false">IF(G55&lt;I55,"KO",IF(AND(G55&gt;0,H55=0),"NO RESP","OK"))</f>
        <v>OK</v>
      </c>
      <c r="K55" s="113" t="n">
        <f aca="false">SUMPRODUCT((Turni!$L$5:$L$27&lt;=$A55)*(Turni!$M$5:$M$27&gt;$A55))</f>
        <v>5</v>
      </c>
      <c r="L55" s="113" t="n">
        <f aca="false">SUMPRODUCT((Turni!$L$5:$L$27&lt;=$A55)*(Turni!$M$5:$M$27&gt;$A55)*(Turni!$B$5:$B$27="RESP"))</f>
        <v>1</v>
      </c>
      <c r="M55" s="131" t="n">
        <f aca="false">IF($A55&lt;Parametri!D$63,0,MAX(Parametri!$B$66,IF(AND($A55&gt;=8/24,$A55&lt;21/24),INDEX(Casse!D$6:D$18,INT($A55*24)-7)+Parametri!$B$17,0)+INT((OreRichieste!D$17-Casse!D$19-Casse!D$25)*$B55/SUMIFS($B$6:$B$68,$A$6:$A$68,"&gt;="&amp;Parametri!D$63)/0.25)))</f>
        <v>5</v>
      </c>
      <c r="N55" s="132" t="str">
        <f aca="false">IF(K55&lt;M55,"KO",IF(AND(K55&gt;0,L55=0),"NO RESP","OK"))</f>
        <v>OK</v>
      </c>
      <c r="O55" s="113" t="n">
        <f aca="false">SUMPRODUCT((Turni!$O$5:$O$27&lt;=$A55)*(Turni!$P$5:$P$27&gt;$A55))</f>
        <v>6</v>
      </c>
      <c r="P55" s="113" t="n">
        <f aca="false">SUMPRODUCT((Turni!$O$5:$O$27&lt;=$A55)*(Turni!$P$5:$P$27&gt;$A55)*(Turni!$B$5:$B$27="RESP"))</f>
        <v>2</v>
      </c>
      <c r="Q55" s="131" t="n">
        <f aca="false">IF($A55&lt;Parametri!E$63,0,MAX(Parametri!$B$66,IF(AND($A55&gt;=8/24,$A55&lt;21/24),INDEX(Casse!E$6:E$18,INT($A55*24)-7)+Parametri!$B$17,0)+INT((OreRichieste!E$17-Casse!E$19-Casse!E$25)*$B55/SUMIFS($B$6:$B$68,$A$6:$A$68,"&gt;="&amp;Parametri!E$63)/0.25)))</f>
        <v>5</v>
      </c>
      <c r="R55" s="132" t="str">
        <f aca="false">IF(O55&lt;Q55,"KO",IF(AND(O55&gt;0,P55=0),"NO RESP","OK"))</f>
        <v>OK</v>
      </c>
      <c r="S55" s="113" t="n">
        <f aca="false">SUMPRODUCT((Turni!$R$5:$R$27&lt;=$A55)*(Turni!$S$5:$S$27&gt;$A55))</f>
        <v>6</v>
      </c>
      <c r="T55" s="113" t="n">
        <f aca="false">SUMPRODUCT((Turni!$R$5:$R$27&lt;=$A55)*(Turni!$S$5:$S$27&gt;$A55)*(Turni!$B$5:$B$27="RESP"))</f>
        <v>2</v>
      </c>
      <c r="U55" s="131" t="n">
        <f aca="false">IF($A55&lt;Parametri!F$63,0,MAX(Parametri!$B$66,IF(AND($A55&gt;=8/24,$A55&lt;21/24),INDEX(Casse!F$6:F$18,INT($A55*24)-7)+Parametri!$B$17,0)+INT((OreRichieste!F$17-Casse!F$19-Casse!F$25)*$B55/SUMIFS($B$6:$B$68,$A$6:$A$68,"&gt;="&amp;Parametri!F$63)/0.25)))</f>
        <v>6</v>
      </c>
      <c r="V55" s="132" t="str">
        <f aca="false">IF(S55&lt;U55,"KO",IF(AND(S55&gt;0,T55=0),"NO RESP","OK"))</f>
        <v>OK</v>
      </c>
      <c r="W55" s="113" t="n">
        <f aca="false">SUMPRODUCT((Turni!$U$5:$U$27&lt;=$A55)*(Turni!$V$5:$V$27&gt;$A55))</f>
        <v>7</v>
      </c>
      <c r="X55" s="113" t="n">
        <f aca="false">SUMPRODUCT((Turni!$U$5:$U$27&lt;=$A55)*(Turni!$V$5:$V$27&gt;$A55)*(Turni!$B$5:$B$27="RESP"))</f>
        <v>2</v>
      </c>
      <c r="Y55" s="131" t="n">
        <f aca="false">IF($A55&lt;Parametri!G$63,0,MAX(Parametri!$B$66,IF(AND($A55&gt;=8/24,$A55&lt;21/24),INDEX(Casse!G$6:G$18,INT($A55*24)-7)+Parametri!$B$17,0)+INT((OreRichieste!G$17-Casse!G$19-Casse!G$25)*$B55/SUMIFS($B$6:$B$68,$A$6:$A$68,"&gt;="&amp;Parametri!G$63)/0.25)))</f>
        <v>6</v>
      </c>
      <c r="Z55" s="132" t="str">
        <f aca="false">IF(W55&lt;Y55,"KO",IF(AND(W55&gt;0,X55=0),"NO RESP","OK"))</f>
        <v>OK</v>
      </c>
      <c r="AA55" s="113" t="n">
        <f aca="false">SUMPRODUCT((Turni!$X$5:$X$27&lt;=$A55)*(Turni!$Y$5:$Y$27&gt;$A55))</f>
        <v>5</v>
      </c>
      <c r="AB55" s="113" t="n">
        <f aca="false">SUMPRODUCT((Turni!$X$5:$X$27&lt;=$A55)*(Turni!$Y$5:$Y$27&gt;$A55)*(Turni!$B$5:$B$27="RESP"))</f>
        <v>1</v>
      </c>
      <c r="AC55" s="131" t="n">
        <f aca="false">IF($A55&lt;Parametri!H$63,0,MAX(Parametri!$B$66,IF(AND($A55&gt;=8/24,$A55&lt;21/24),INDEX(Casse!H$6:H$18,INT($A55*24)-7)+Parametri!$B$17,0)+INT((OreRichieste!H$17-Casse!H$19-Casse!H$25)*$B55/SUMIFS($B$6:$B$68,$A$6:$A$68,"&gt;="&amp;Parametri!H$63)/0.25)))</f>
        <v>5</v>
      </c>
      <c r="AD55" s="132" t="str">
        <f aca="false">IF(AA55&lt;AC55,"KO",IF(AND(AA55&gt;0,AB55=0),"NO RESP","OK"))</f>
        <v>OK</v>
      </c>
      <c r="AE55" s="133" t="s">
        <v>213</v>
      </c>
    </row>
    <row r="56" customFormat="false" ht="15" hidden="false" customHeight="true" outlineLevel="0" collapsed="false">
      <c r="A56" s="129" t="n">
        <v>0.75</v>
      </c>
      <c r="B56" s="130" t="n">
        <v>0.95</v>
      </c>
      <c r="C56" s="113" t="n">
        <f aca="false">SUMPRODUCT((Turni!$F$5:$F$27&lt;=$A56)*(Turni!$G$5:$G$27&gt;$A56))</f>
        <v>6</v>
      </c>
      <c r="D56" s="113" t="n">
        <f aca="false">SUMPRODUCT((Turni!$F$5:$F$27&lt;=$A56)*(Turni!$G$5:$G$27&gt;$A56)*(Turni!$B$5:$B$27="RESP"))</f>
        <v>2</v>
      </c>
      <c r="E56" s="131" t="n">
        <f aca="false">IF($A56&lt;Parametri!B$63,0,MAX(Parametri!$B$66,IF(AND($A56&gt;=8/24,$A56&lt;21/24),INDEX(Casse!B$6:B$18,INT($A56*24)-7)+Parametri!$B$17,0)+INT((OreRichieste!B$17-Casse!B$19-Casse!B$25)*$B56/SUMIFS($B$6:$B$68,$A$6:$A$68,"&gt;="&amp;Parametri!B$63)/0.25)))</f>
        <v>6</v>
      </c>
      <c r="F56" s="132" t="str">
        <f aca="false">IF(C56&lt;E56,"KO",IF(AND(C56&gt;0,D56=0),"NO RESP","OK"))</f>
        <v>OK</v>
      </c>
      <c r="G56" s="113" t="n">
        <f aca="false">SUMPRODUCT((Turni!$I$5:$I$27&lt;=$A56)*(Turni!$J$5:$J$27&gt;$A56))</f>
        <v>4</v>
      </c>
      <c r="H56" s="113" t="n">
        <f aca="false">SUMPRODUCT((Turni!$I$5:$I$27&lt;=$A56)*(Turni!$J$5:$J$27&gt;$A56)*(Turni!$B$5:$B$27="RESP"))</f>
        <v>1</v>
      </c>
      <c r="I56" s="131" t="n">
        <f aca="false">IF($A56&lt;Parametri!C$63,0,MAX(Parametri!$B$66,IF(AND($A56&gt;=8/24,$A56&lt;21/24),INDEX(Casse!C$6:C$18,INT($A56*24)-7)+Parametri!$B$17,0)+INT((OreRichieste!C$17-Casse!C$19-Casse!C$25)*$B56/SUMIFS($B$6:$B$68,$A$6:$A$68,"&gt;="&amp;Parametri!C$63)/0.25)))</f>
        <v>4</v>
      </c>
      <c r="J56" s="132" t="str">
        <f aca="false">IF(G56&lt;I56,"KO",IF(AND(G56&gt;0,H56=0),"NO RESP","OK"))</f>
        <v>OK</v>
      </c>
      <c r="K56" s="113" t="n">
        <f aca="false">SUMPRODUCT((Turni!$L$5:$L$27&lt;=$A56)*(Turni!$M$5:$M$27&gt;$A56))</f>
        <v>4</v>
      </c>
      <c r="L56" s="113" t="n">
        <f aca="false">SUMPRODUCT((Turni!$L$5:$L$27&lt;=$A56)*(Turni!$M$5:$M$27&gt;$A56)*(Turni!$B$5:$B$27="RESP"))</f>
        <v>1</v>
      </c>
      <c r="M56" s="131" t="n">
        <f aca="false">IF($A56&lt;Parametri!D$63,0,MAX(Parametri!$B$66,IF(AND($A56&gt;=8/24,$A56&lt;21/24),INDEX(Casse!D$6:D$18,INT($A56*24)-7)+Parametri!$B$17,0)+INT((OreRichieste!D$17-Casse!D$19-Casse!D$25)*$B56/SUMIFS($B$6:$B$68,$A$6:$A$68,"&gt;="&amp;Parametri!D$63)/0.25)))</f>
        <v>4</v>
      </c>
      <c r="N56" s="132" t="str">
        <f aca="false">IF(K56&lt;M56,"KO",IF(AND(K56&gt;0,L56=0),"NO RESP","OK"))</f>
        <v>OK</v>
      </c>
      <c r="O56" s="113" t="n">
        <f aca="false">SUMPRODUCT((Turni!$O$5:$O$27&lt;=$A56)*(Turni!$P$5:$P$27&gt;$A56))</f>
        <v>6</v>
      </c>
      <c r="P56" s="113" t="n">
        <f aca="false">SUMPRODUCT((Turni!$O$5:$O$27&lt;=$A56)*(Turni!$P$5:$P$27&gt;$A56)*(Turni!$B$5:$B$27="RESP"))</f>
        <v>2</v>
      </c>
      <c r="Q56" s="131" t="n">
        <f aca="false">IF($A56&lt;Parametri!E$63,0,MAX(Parametri!$B$66,IF(AND($A56&gt;=8/24,$A56&lt;21/24),INDEX(Casse!E$6:E$18,INT($A56*24)-7)+Parametri!$B$17,0)+INT((OreRichieste!E$17-Casse!E$19-Casse!E$25)*$B56/SUMIFS($B$6:$B$68,$A$6:$A$68,"&gt;="&amp;Parametri!E$63)/0.25)))</f>
        <v>6</v>
      </c>
      <c r="R56" s="132" t="str">
        <f aca="false">IF(O56&lt;Q56,"KO",IF(AND(O56&gt;0,P56=0),"NO RESP","OK"))</f>
        <v>OK</v>
      </c>
      <c r="S56" s="113" t="n">
        <f aca="false">SUMPRODUCT((Turni!$R$5:$R$27&lt;=$A56)*(Turni!$S$5:$S$27&gt;$A56))</f>
        <v>6</v>
      </c>
      <c r="T56" s="113" t="n">
        <f aca="false">SUMPRODUCT((Turni!$R$5:$R$27&lt;=$A56)*(Turni!$S$5:$S$27&gt;$A56)*(Turni!$B$5:$B$27="RESP"))</f>
        <v>2</v>
      </c>
      <c r="U56" s="131" t="n">
        <f aca="false">IF($A56&lt;Parametri!F$63,0,MAX(Parametri!$B$66,IF(AND($A56&gt;=8/24,$A56&lt;21/24),INDEX(Casse!F$6:F$18,INT($A56*24)-7)+Parametri!$B$17,0)+INT((OreRichieste!F$17-Casse!F$19-Casse!F$25)*$B56/SUMIFS($B$6:$B$68,$A$6:$A$68,"&gt;="&amp;Parametri!F$63)/0.25)))</f>
        <v>6</v>
      </c>
      <c r="V56" s="132" t="str">
        <f aca="false">IF(S56&lt;U56,"KO",IF(AND(S56&gt;0,T56=0),"NO RESP","OK"))</f>
        <v>OK</v>
      </c>
      <c r="W56" s="113" t="n">
        <f aca="false">SUMPRODUCT((Turni!$U$5:$U$27&lt;=$A56)*(Turni!$V$5:$V$27&gt;$A56))</f>
        <v>7</v>
      </c>
      <c r="X56" s="113" t="n">
        <f aca="false">SUMPRODUCT((Turni!$U$5:$U$27&lt;=$A56)*(Turni!$V$5:$V$27&gt;$A56)*(Turni!$B$5:$B$27="RESP"))</f>
        <v>2</v>
      </c>
      <c r="Y56" s="131" t="n">
        <f aca="false">IF($A56&lt;Parametri!G$63,0,MAX(Parametri!$B$66,IF(AND($A56&gt;=8/24,$A56&lt;21/24),INDEX(Casse!G$6:G$18,INT($A56*24)-7)+Parametri!$B$17,0)+INT((OreRichieste!G$17-Casse!G$19-Casse!G$25)*$B56/SUMIFS($B$6:$B$68,$A$6:$A$68,"&gt;="&amp;Parametri!G$63)/0.25)))</f>
        <v>6</v>
      </c>
      <c r="Z56" s="132" t="str">
        <f aca="false">IF(W56&lt;Y56,"KO",IF(AND(W56&gt;0,X56=0),"NO RESP","OK"))</f>
        <v>OK</v>
      </c>
      <c r="AA56" s="113" t="n">
        <f aca="false">SUMPRODUCT((Turni!$X$5:$X$27&lt;=$A56)*(Turni!$Y$5:$Y$27&gt;$A56))</f>
        <v>4</v>
      </c>
      <c r="AB56" s="113" t="n">
        <f aca="false">SUMPRODUCT((Turni!$X$5:$X$27&lt;=$A56)*(Turni!$Y$5:$Y$27&gt;$A56)*(Turni!$B$5:$B$27="RESP"))</f>
        <v>1</v>
      </c>
      <c r="AC56" s="131" t="n">
        <f aca="false">IF($A56&lt;Parametri!H$63,0,MAX(Parametri!$B$66,IF(AND($A56&gt;=8/24,$A56&lt;21/24),INDEX(Casse!H$6:H$18,INT($A56*24)-7)+Parametri!$B$17,0)+INT((OreRichieste!H$17-Casse!H$19-Casse!H$25)*$B56/SUMIFS($B$6:$B$68,$A$6:$A$68,"&gt;="&amp;Parametri!H$63)/0.25)))</f>
        <v>4</v>
      </c>
      <c r="AD56" s="132" t="str">
        <f aca="false">IF(AA56&lt;AC56,"KO",IF(AND(AA56&gt;0,AB56=0),"NO RESP","OK"))</f>
        <v>OK</v>
      </c>
      <c r="AE56" s="133" t="s">
        <v>214</v>
      </c>
    </row>
    <row r="57" customFormat="false" ht="15" hidden="false" customHeight="true" outlineLevel="0" collapsed="false">
      <c r="A57" s="129" t="n">
        <v>0.760416666666667</v>
      </c>
      <c r="B57" s="130" t="n">
        <v>0.95</v>
      </c>
      <c r="C57" s="113" t="n">
        <f aca="false">SUMPRODUCT((Turni!$F$5:$F$27&lt;=$A57)*(Turni!$G$5:$G$27&gt;$A57))</f>
        <v>6</v>
      </c>
      <c r="D57" s="113" t="n">
        <f aca="false">SUMPRODUCT((Turni!$F$5:$F$27&lt;=$A57)*(Turni!$G$5:$G$27&gt;$A57)*(Turni!$B$5:$B$27="RESP"))</f>
        <v>2</v>
      </c>
      <c r="E57" s="131" t="n">
        <f aca="false">IF($A57&lt;Parametri!B$63,0,MAX(Parametri!$B$66,IF(AND($A57&gt;=8/24,$A57&lt;21/24),INDEX(Casse!B$6:B$18,INT($A57*24)-7)+Parametri!$B$17,0)+INT((OreRichieste!B$17-Casse!B$19-Casse!B$25)*$B57/SUMIFS($B$6:$B$68,$A$6:$A$68,"&gt;="&amp;Parametri!B$63)/0.25)))</f>
        <v>6</v>
      </c>
      <c r="F57" s="132" t="str">
        <f aca="false">IF(C57&lt;E57,"KO",IF(AND(C57&gt;0,D57=0),"NO RESP","OK"))</f>
        <v>OK</v>
      </c>
      <c r="G57" s="113" t="n">
        <f aca="false">SUMPRODUCT((Turni!$I$5:$I$27&lt;=$A57)*(Turni!$J$5:$J$27&gt;$A57))</f>
        <v>4</v>
      </c>
      <c r="H57" s="113" t="n">
        <f aca="false">SUMPRODUCT((Turni!$I$5:$I$27&lt;=$A57)*(Turni!$J$5:$J$27&gt;$A57)*(Turni!$B$5:$B$27="RESP"))</f>
        <v>1</v>
      </c>
      <c r="I57" s="131" t="n">
        <f aca="false">IF($A57&lt;Parametri!C$63,0,MAX(Parametri!$B$66,IF(AND($A57&gt;=8/24,$A57&lt;21/24),INDEX(Casse!C$6:C$18,INT($A57*24)-7)+Parametri!$B$17,0)+INT((OreRichieste!C$17-Casse!C$19-Casse!C$25)*$B57/SUMIFS($B$6:$B$68,$A$6:$A$68,"&gt;="&amp;Parametri!C$63)/0.25)))</f>
        <v>4</v>
      </c>
      <c r="J57" s="132" t="str">
        <f aca="false">IF(G57&lt;I57,"KO",IF(AND(G57&gt;0,H57=0),"NO RESP","OK"))</f>
        <v>OK</v>
      </c>
      <c r="K57" s="113" t="n">
        <f aca="false">SUMPRODUCT((Turni!$L$5:$L$27&lt;=$A57)*(Turni!$M$5:$M$27&gt;$A57))</f>
        <v>4</v>
      </c>
      <c r="L57" s="113" t="n">
        <f aca="false">SUMPRODUCT((Turni!$L$5:$L$27&lt;=$A57)*(Turni!$M$5:$M$27&gt;$A57)*(Turni!$B$5:$B$27="RESP"))</f>
        <v>1</v>
      </c>
      <c r="M57" s="131" t="n">
        <f aca="false">IF($A57&lt;Parametri!D$63,0,MAX(Parametri!$B$66,IF(AND($A57&gt;=8/24,$A57&lt;21/24),INDEX(Casse!D$6:D$18,INT($A57*24)-7)+Parametri!$B$17,0)+INT((OreRichieste!D$17-Casse!D$19-Casse!D$25)*$B57/SUMIFS($B$6:$B$68,$A$6:$A$68,"&gt;="&amp;Parametri!D$63)/0.25)))</f>
        <v>4</v>
      </c>
      <c r="N57" s="132" t="str">
        <f aca="false">IF(K57&lt;M57,"KO",IF(AND(K57&gt;0,L57=0),"NO RESP","OK"))</f>
        <v>OK</v>
      </c>
      <c r="O57" s="113" t="n">
        <f aca="false">SUMPRODUCT((Turni!$O$5:$O$27&lt;=$A57)*(Turni!$P$5:$P$27&gt;$A57))</f>
        <v>6</v>
      </c>
      <c r="P57" s="113" t="n">
        <f aca="false">SUMPRODUCT((Turni!$O$5:$O$27&lt;=$A57)*(Turni!$P$5:$P$27&gt;$A57)*(Turni!$B$5:$B$27="RESP"))</f>
        <v>2</v>
      </c>
      <c r="Q57" s="131" t="n">
        <f aca="false">IF($A57&lt;Parametri!E$63,0,MAX(Parametri!$B$66,IF(AND($A57&gt;=8/24,$A57&lt;21/24),INDEX(Casse!E$6:E$18,INT($A57*24)-7)+Parametri!$B$17,0)+INT((OreRichieste!E$17-Casse!E$19-Casse!E$25)*$B57/SUMIFS($B$6:$B$68,$A$6:$A$68,"&gt;="&amp;Parametri!E$63)/0.25)))</f>
        <v>6</v>
      </c>
      <c r="R57" s="132" t="str">
        <f aca="false">IF(O57&lt;Q57,"KO",IF(AND(O57&gt;0,P57=0),"NO RESP","OK"))</f>
        <v>OK</v>
      </c>
      <c r="S57" s="113" t="n">
        <f aca="false">SUMPRODUCT((Turni!$R$5:$R$27&lt;=$A57)*(Turni!$S$5:$S$27&gt;$A57))</f>
        <v>6</v>
      </c>
      <c r="T57" s="113" t="n">
        <f aca="false">SUMPRODUCT((Turni!$R$5:$R$27&lt;=$A57)*(Turni!$S$5:$S$27&gt;$A57)*(Turni!$B$5:$B$27="RESP"))</f>
        <v>2</v>
      </c>
      <c r="U57" s="131" t="n">
        <f aca="false">IF($A57&lt;Parametri!F$63,0,MAX(Parametri!$B$66,IF(AND($A57&gt;=8/24,$A57&lt;21/24),INDEX(Casse!F$6:F$18,INT($A57*24)-7)+Parametri!$B$17,0)+INT((OreRichieste!F$17-Casse!F$19-Casse!F$25)*$B57/SUMIFS($B$6:$B$68,$A$6:$A$68,"&gt;="&amp;Parametri!F$63)/0.25)))</f>
        <v>6</v>
      </c>
      <c r="V57" s="132" t="str">
        <f aca="false">IF(S57&lt;U57,"KO",IF(AND(S57&gt;0,T57=0),"NO RESP","OK"))</f>
        <v>OK</v>
      </c>
      <c r="W57" s="113" t="n">
        <f aca="false">SUMPRODUCT((Turni!$U$5:$U$27&lt;=$A57)*(Turni!$V$5:$V$27&gt;$A57))</f>
        <v>7</v>
      </c>
      <c r="X57" s="113" t="n">
        <f aca="false">SUMPRODUCT((Turni!$U$5:$U$27&lt;=$A57)*(Turni!$V$5:$V$27&gt;$A57)*(Turni!$B$5:$B$27="RESP"))</f>
        <v>2</v>
      </c>
      <c r="Y57" s="131" t="n">
        <f aca="false">IF($A57&lt;Parametri!G$63,0,MAX(Parametri!$B$66,IF(AND($A57&gt;=8/24,$A57&lt;21/24),INDEX(Casse!G$6:G$18,INT($A57*24)-7)+Parametri!$B$17,0)+INT((OreRichieste!G$17-Casse!G$19-Casse!G$25)*$B57/SUMIFS($B$6:$B$68,$A$6:$A$68,"&gt;="&amp;Parametri!G$63)/0.25)))</f>
        <v>6</v>
      </c>
      <c r="Z57" s="132" t="str">
        <f aca="false">IF(W57&lt;Y57,"KO",IF(AND(W57&gt;0,X57=0),"NO RESP","OK"))</f>
        <v>OK</v>
      </c>
      <c r="AA57" s="113" t="n">
        <f aca="false">SUMPRODUCT((Turni!$X$5:$X$27&lt;=$A57)*(Turni!$Y$5:$Y$27&gt;$A57))</f>
        <v>4</v>
      </c>
      <c r="AB57" s="113" t="n">
        <f aca="false">SUMPRODUCT((Turni!$X$5:$X$27&lt;=$A57)*(Turni!$Y$5:$Y$27&gt;$A57)*(Turni!$B$5:$B$27="RESP"))</f>
        <v>1</v>
      </c>
      <c r="AC57" s="131" t="n">
        <f aca="false">IF($A57&lt;Parametri!H$63,0,MAX(Parametri!$B$66,IF(AND($A57&gt;=8/24,$A57&lt;21/24),INDEX(Casse!H$6:H$18,INT($A57*24)-7)+Parametri!$B$17,0)+INT((OreRichieste!H$17-Casse!H$19-Casse!H$25)*$B57/SUMIFS($B$6:$B$68,$A$6:$A$68,"&gt;="&amp;Parametri!H$63)/0.25)))</f>
        <v>4</v>
      </c>
      <c r="AD57" s="132" t="str">
        <f aca="false">IF(AA57&lt;AC57,"KO",IF(AND(AA57&gt;0,AB57=0),"NO RESP","OK"))</f>
        <v>OK</v>
      </c>
      <c r="AE57" s="133" t="s">
        <v>215</v>
      </c>
    </row>
    <row r="58" customFormat="false" ht="15" hidden="false" customHeight="true" outlineLevel="0" collapsed="false">
      <c r="A58" s="129" t="n">
        <v>0.770833333333333</v>
      </c>
      <c r="B58" s="130" t="n">
        <v>0.95</v>
      </c>
      <c r="C58" s="113" t="n">
        <f aca="false">SUMPRODUCT((Turni!$F$5:$F$27&lt;=$A58)*(Turni!$G$5:$G$27&gt;$A58))</f>
        <v>6</v>
      </c>
      <c r="D58" s="113" t="n">
        <f aca="false">SUMPRODUCT((Turni!$F$5:$F$27&lt;=$A58)*(Turni!$G$5:$G$27&gt;$A58)*(Turni!$B$5:$B$27="RESP"))</f>
        <v>2</v>
      </c>
      <c r="E58" s="131" t="n">
        <f aca="false">IF($A58&lt;Parametri!B$63,0,MAX(Parametri!$B$66,IF(AND($A58&gt;=8/24,$A58&lt;21/24),INDEX(Casse!B$6:B$18,INT($A58*24)-7)+Parametri!$B$17,0)+INT((OreRichieste!B$17-Casse!B$19-Casse!B$25)*$B58/SUMIFS($B$6:$B$68,$A$6:$A$68,"&gt;="&amp;Parametri!B$63)/0.25)))</f>
        <v>6</v>
      </c>
      <c r="F58" s="132" t="str">
        <f aca="false">IF(C58&lt;E58,"KO",IF(AND(C58&gt;0,D58=0),"NO RESP","OK"))</f>
        <v>OK</v>
      </c>
      <c r="G58" s="113" t="n">
        <f aca="false">SUMPRODUCT((Turni!$I$5:$I$27&lt;=$A58)*(Turni!$J$5:$J$27&gt;$A58))</f>
        <v>4</v>
      </c>
      <c r="H58" s="113" t="n">
        <f aca="false">SUMPRODUCT((Turni!$I$5:$I$27&lt;=$A58)*(Turni!$J$5:$J$27&gt;$A58)*(Turni!$B$5:$B$27="RESP"))</f>
        <v>1</v>
      </c>
      <c r="I58" s="131" t="n">
        <f aca="false">IF($A58&lt;Parametri!C$63,0,MAX(Parametri!$B$66,IF(AND($A58&gt;=8/24,$A58&lt;21/24),INDEX(Casse!C$6:C$18,INT($A58*24)-7)+Parametri!$B$17,0)+INT((OreRichieste!C$17-Casse!C$19-Casse!C$25)*$B58/SUMIFS($B$6:$B$68,$A$6:$A$68,"&gt;="&amp;Parametri!C$63)/0.25)))</f>
        <v>4</v>
      </c>
      <c r="J58" s="132" t="str">
        <f aca="false">IF(G58&lt;I58,"KO",IF(AND(G58&gt;0,H58=0),"NO RESP","OK"))</f>
        <v>OK</v>
      </c>
      <c r="K58" s="113" t="n">
        <f aca="false">SUMPRODUCT((Turni!$L$5:$L$27&lt;=$A58)*(Turni!$M$5:$M$27&gt;$A58))</f>
        <v>4</v>
      </c>
      <c r="L58" s="113" t="n">
        <f aca="false">SUMPRODUCT((Turni!$L$5:$L$27&lt;=$A58)*(Turni!$M$5:$M$27&gt;$A58)*(Turni!$B$5:$B$27="RESP"))</f>
        <v>1</v>
      </c>
      <c r="M58" s="131" t="n">
        <f aca="false">IF($A58&lt;Parametri!D$63,0,MAX(Parametri!$B$66,IF(AND($A58&gt;=8/24,$A58&lt;21/24),INDEX(Casse!D$6:D$18,INT($A58*24)-7)+Parametri!$B$17,0)+INT((OreRichieste!D$17-Casse!D$19-Casse!D$25)*$B58/SUMIFS($B$6:$B$68,$A$6:$A$68,"&gt;="&amp;Parametri!D$63)/0.25)))</f>
        <v>4</v>
      </c>
      <c r="N58" s="132" t="str">
        <f aca="false">IF(K58&lt;M58,"KO",IF(AND(K58&gt;0,L58=0),"NO RESP","OK"))</f>
        <v>OK</v>
      </c>
      <c r="O58" s="113" t="n">
        <f aca="false">SUMPRODUCT((Turni!$O$5:$O$27&lt;=$A58)*(Turni!$P$5:$P$27&gt;$A58))</f>
        <v>6</v>
      </c>
      <c r="P58" s="113" t="n">
        <f aca="false">SUMPRODUCT((Turni!$O$5:$O$27&lt;=$A58)*(Turni!$P$5:$P$27&gt;$A58)*(Turni!$B$5:$B$27="RESP"))</f>
        <v>2</v>
      </c>
      <c r="Q58" s="131" t="n">
        <f aca="false">IF($A58&lt;Parametri!E$63,0,MAX(Parametri!$B$66,IF(AND($A58&gt;=8/24,$A58&lt;21/24),INDEX(Casse!E$6:E$18,INT($A58*24)-7)+Parametri!$B$17,0)+INT((OreRichieste!E$17-Casse!E$19-Casse!E$25)*$B58/SUMIFS($B$6:$B$68,$A$6:$A$68,"&gt;="&amp;Parametri!E$63)/0.25)))</f>
        <v>6</v>
      </c>
      <c r="R58" s="132" t="str">
        <f aca="false">IF(O58&lt;Q58,"KO",IF(AND(O58&gt;0,P58=0),"NO RESP","OK"))</f>
        <v>OK</v>
      </c>
      <c r="S58" s="113" t="n">
        <f aca="false">SUMPRODUCT((Turni!$R$5:$R$27&lt;=$A58)*(Turni!$S$5:$S$27&gt;$A58))</f>
        <v>5</v>
      </c>
      <c r="T58" s="113" t="n">
        <f aca="false">SUMPRODUCT((Turni!$R$5:$R$27&lt;=$A58)*(Turni!$S$5:$S$27&gt;$A58)*(Turni!$B$5:$B$27="RESP"))</f>
        <v>2</v>
      </c>
      <c r="U58" s="131" t="n">
        <f aca="false">IF($A58&lt;Parametri!F$63,0,MAX(Parametri!$B$66,IF(AND($A58&gt;=8/24,$A58&lt;21/24),INDEX(Casse!F$6:F$18,INT($A58*24)-7)+Parametri!$B$17,0)+INT((OreRichieste!F$17-Casse!F$19-Casse!F$25)*$B58/SUMIFS($B$6:$B$68,$A$6:$A$68,"&gt;="&amp;Parametri!F$63)/0.25)))</f>
        <v>6</v>
      </c>
      <c r="V58" s="132" t="str">
        <f aca="false">IF(S58&lt;U58,"KO",IF(AND(S58&gt;0,T58=0),"NO RESP","OK"))</f>
        <v>KO</v>
      </c>
      <c r="W58" s="113" t="n">
        <f aca="false">SUMPRODUCT((Turni!$U$5:$U$27&lt;=$A58)*(Turni!$V$5:$V$27&gt;$A58))</f>
        <v>6</v>
      </c>
      <c r="X58" s="113" t="n">
        <f aca="false">SUMPRODUCT((Turni!$U$5:$U$27&lt;=$A58)*(Turni!$V$5:$V$27&gt;$A58)*(Turni!$B$5:$B$27="RESP"))</f>
        <v>2</v>
      </c>
      <c r="Y58" s="131" t="n">
        <f aca="false">IF($A58&lt;Parametri!G$63,0,MAX(Parametri!$B$66,IF(AND($A58&gt;=8/24,$A58&lt;21/24),INDEX(Casse!G$6:G$18,INT($A58*24)-7)+Parametri!$B$17,0)+INT((OreRichieste!G$17-Casse!G$19-Casse!G$25)*$B58/SUMIFS($B$6:$B$68,$A$6:$A$68,"&gt;="&amp;Parametri!G$63)/0.25)))</f>
        <v>6</v>
      </c>
      <c r="Z58" s="132" t="str">
        <f aca="false">IF(W58&lt;Y58,"KO",IF(AND(W58&gt;0,X58=0),"NO RESP","OK"))</f>
        <v>OK</v>
      </c>
      <c r="AA58" s="113" t="n">
        <f aca="false">SUMPRODUCT((Turni!$X$5:$X$27&lt;=$A58)*(Turni!$Y$5:$Y$27&gt;$A58))</f>
        <v>4</v>
      </c>
      <c r="AB58" s="113" t="n">
        <f aca="false">SUMPRODUCT((Turni!$X$5:$X$27&lt;=$A58)*(Turni!$Y$5:$Y$27&gt;$A58)*(Turni!$B$5:$B$27="RESP"))</f>
        <v>1</v>
      </c>
      <c r="AC58" s="131" t="n">
        <f aca="false">IF($A58&lt;Parametri!H$63,0,MAX(Parametri!$B$66,IF(AND($A58&gt;=8/24,$A58&lt;21/24),INDEX(Casse!H$6:H$18,INT($A58*24)-7)+Parametri!$B$17,0)+INT((OreRichieste!H$17-Casse!H$19-Casse!H$25)*$B58/SUMIFS($B$6:$B$68,$A$6:$A$68,"&gt;="&amp;Parametri!H$63)/0.25)))</f>
        <v>4</v>
      </c>
      <c r="AD58" s="132" t="str">
        <f aca="false">IF(AA58&lt;AC58,"KO",IF(AND(AA58&gt;0,AB58=0),"NO RESP","OK"))</f>
        <v>OK</v>
      </c>
      <c r="AE58" s="133" t="s">
        <v>216</v>
      </c>
    </row>
    <row r="59" customFormat="false" ht="15" hidden="false" customHeight="true" outlineLevel="0" collapsed="false">
      <c r="A59" s="129" t="n">
        <v>0.78125</v>
      </c>
      <c r="B59" s="130" t="n">
        <v>0.95</v>
      </c>
      <c r="C59" s="113" t="n">
        <f aca="false">SUMPRODUCT((Turni!$F$5:$F$27&lt;=$A59)*(Turni!$G$5:$G$27&gt;$A59))</f>
        <v>6</v>
      </c>
      <c r="D59" s="113" t="n">
        <f aca="false">SUMPRODUCT((Turni!$F$5:$F$27&lt;=$A59)*(Turni!$G$5:$G$27&gt;$A59)*(Turni!$B$5:$B$27="RESP"))</f>
        <v>2</v>
      </c>
      <c r="E59" s="131" t="n">
        <f aca="false">IF($A59&lt;Parametri!B$63,0,MAX(Parametri!$B$66,IF(AND($A59&gt;=8/24,$A59&lt;21/24),INDEX(Casse!B$6:B$18,INT($A59*24)-7)+Parametri!$B$17,0)+INT((OreRichieste!B$17-Casse!B$19-Casse!B$25)*$B59/SUMIFS($B$6:$B$68,$A$6:$A$68,"&gt;="&amp;Parametri!B$63)/0.25)))</f>
        <v>6</v>
      </c>
      <c r="F59" s="132" t="str">
        <f aca="false">IF(C59&lt;E59,"KO",IF(AND(C59&gt;0,D59=0),"NO RESP","OK"))</f>
        <v>OK</v>
      </c>
      <c r="G59" s="113" t="n">
        <f aca="false">SUMPRODUCT((Turni!$I$5:$I$27&lt;=$A59)*(Turni!$J$5:$J$27&gt;$A59))</f>
        <v>4</v>
      </c>
      <c r="H59" s="113" t="n">
        <f aca="false">SUMPRODUCT((Turni!$I$5:$I$27&lt;=$A59)*(Turni!$J$5:$J$27&gt;$A59)*(Turni!$B$5:$B$27="RESP"))</f>
        <v>1</v>
      </c>
      <c r="I59" s="131" t="n">
        <f aca="false">IF($A59&lt;Parametri!C$63,0,MAX(Parametri!$B$66,IF(AND($A59&gt;=8/24,$A59&lt;21/24),INDEX(Casse!C$6:C$18,INT($A59*24)-7)+Parametri!$B$17,0)+INT((OreRichieste!C$17-Casse!C$19-Casse!C$25)*$B59/SUMIFS($B$6:$B$68,$A$6:$A$68,"&gt;="&amp;Parametri!C$63)/0.25)))</f>
        <v>4</v>
      </c>
      <c r="J59" s="132" t="str">
        <f aca="false">IF(G59&lt;I59,"KO",IF(AND(G59&gt;0,H59=0),"NO RESP","OK"))</f>
        <v>OK</v>
      </c>
      <c r="K59" s="113" t="n">
        <f aca="false">SUMPRODUCT((Turni!$L$5:$L$27&lt;=$A59)*(Turni!$M$5:$M$27&gt;$A59))</f>
        <v>4</v>
      </c>
      <c r="L59" s="113" t="n">
        <f aca="false">SUMPRODUCT((Turni!$L$5:$L$27&lt;=$A59)*(Turni!$M$5:$M$27&gt;$A59)*(Turni!$B$5:$B$27="RESP"))</f>
        <v>1</v>
      </c>
      <c r="M59" s="131" t="n">
        <f aca="false">IF($A59&lt;Parametri!D$63,0,MAX(Parametri!$B$66,IF(AND($A59&gt;=8/24,$A59&lt;21/24),INDEX(Casse!D$6:D$18,INT($A59*24)-7)+Parametri!$B$17,0)+INT((OreRichieste!D$17-Casse!D$19-Casse!D$25)*$B59/SUMIFS($B$6:$B$68,$A$6:$A$68,"&gt;="&amp;Parametri!D$63)/0.25)))</f>
        <v>4</v>
      </c>
      <c r="N59" s="132" t="str">
        <f aca="false">IF(K59&lt;M59,"KO",IF(AND(K59&gt;0,L59=0),"NO RESP","OK"))</f>
        <v>OK</v>
      </c>
      <c r="O59" s="113" t="n">
        <f aca="false">SUMPRODUCT((Turni!$O$5:$O$27&lt;=$A59)*(Turni!$P$5:$P$27&gt;$A59))</f>
        <v>6</v>
      </c>
      <c r="P59" s="113" t="n">
        <f aca="false">SUMPRODUCT((Turni!$O$5:$O$27&lt;=$A59)*(Turni!$P$5:$P$27&gt;$A59)*(Turni!$B$5:$B$27="RESP"))</f>
        <v>2</v>
      </c>
      <c r="Q59" s="131" t="n">
        <f aca="false">IF($A59&lt;Parametri!E$63,0,MAX(Parametri!$B$66,IF(AND($A59&gt;=8/24,$A59&lt;21/24),INDEX(Casse!E$6:E$18,INT($A59*24)-7)+Parametri!$B$17,0)+INT((OreRichieste!E$17-Casse!E$19-Casse!E$25)*$B59/SUMIFS($B$6:$B$68,$A$6:$A$68,"&gt;="&amp;Parametri!E$63)/0.25)))</f>
        <v>6</v>
      </c>
      <c r="R59" s="132" t="str">
        <f aca="false">IF(O59&lt;Q59,"KO",IF(AND(O59&gt;0,P59=0),"NO RESP","OK"))</f>
        <v>OK</v>
      </c>
      <c r="S59" s="113" t="n">
        <f aca="false">SUMPRODUCT((Turni!$R$5:$R$27&lt;=$A59)*(Turni!$S$5:$S$27&gt;$A59))</f>
        <v>5</v>
      </c>
      <c r="T59" s="113" t="n">
        <f aca="false">SUMPRODUCT((Turni!$R$5:$R$27&lt;=$A59)*(Turni!$S$5:$S$27&gt;$A59)*(Turni!$B$5:$B$27="RESP"))</f>
        <v>2</v>
      </c>
      <c r="U59" s="131" t="n">
        <f aca="false">IF($A59&lt;Parametri!F$63,0,MAX(Parametri!$B$66,IF(AND($A59&gt;=8/24,$A59&lt;21/24),INDEX(Casse!F$6:F$18,INT($A59*24)-7)+Parametri!$B$17,0)+INT((OreRichieste!F$17-Casse!F$19-Casse!F$25)*$B59/SUMIFS($B$6:$B$68,$A$6:$A$68,"&gt;="&amp;Parametri!F$63)/0.25)))</f>
        <v>6</v>
      </c>
      <c r="V59" s="132" t="str">
        <f aca="false">IF(S59&lt;U59,"KO",IF(AND(S59&gt;0,T59=0),"NO RESP","OK"))</f>
        <v>KO</v>
      </c>
      <c r="W59" s="113" t="n">
        <f aca="false">SUMPRODUCT((Turni!$U$5:$U$27&lt;=$A59)*(Turni!$V$5:$V$27&gt;$A59))</f>
        <v>6</v>
      </c>
      <c r="X59" s="113" t="n">
        <f aca="false">SUMPRODUCT((Turni!$U$5:$U$27&lt;=$A59)*(Turni!$V$5:$V$27&gt;$A59)*(Turni!$B$5:$B$27="RESP"))</f>
        <v>2</v>
      </c>
      <c r="Y59" s="131" t="n">
        <f aca="false">IF($A59&lt;Parametri!G$63,0,MAX(Parametri!$B$66,IF(AND($A59&gt;=8/24,$A59&lt;21/24),INDEX(Casse!G$6:G$18,INT($A59*24)-7)+Parametri!$B$17,0)+INT((OreRichieste!G$17-Casse!G$19-Casse!G$25)*$B59/SUMIFS($B$6:$B$68,$A$6:$A$68,"&gt;="&amp;Parametri!G$63)/0.25)))</f>
        <v>6</v>
      </c>
      <c r="Z59" s="132" t="str">
        <f aca="false">IF(W59&lt;Y59,"KO",IF(AND(W59&gt;0,X59=0),"NO RESP","OK"))</f>
        <v>OK</v>
      </c>
      <c r="AA59" s="113" t="n">
        <f aca="false">SUMPRODUCT((Turni!$X$5:$X$27&lt;=$A59)*(Turni!$Y$5:$Y$27&gt;$A59))</f>
        <v>4</v>
      </c>
      <c r="AB59" s="113" t="n">
        <f aca="false">SUMPRODUCT((Turni!$X$5:$X$27&lt;=$A59)*(Turni!$Y$5:$Y$27&gt;$A59)*(Turni!$B$5:$B$27="RESP"))</f>
        <v>1</v>
      </c>
      <c r="AC59" s="131" t="n">
        <f aca="false">IF($A59&lt;Parametri!H$63,0,MAX(Parametri!$B$66,IF(AND($A59&gt;=8/24,$A59&lt;21/24),INDEX(Casse!H$6:H$18,INT($A59*24)-7)+Parametri!$B$17,0)+INT((OreRichieste!H$17-Casse!H$19-Casse!H$25)*$B59/SUMIFS($B$6:$B$68,$A$6:$A$68,"&gt;="&amp;Parametri!H$63)/0.25)))</f>
        <v>4</v>
      </c>
      <c r="AD59" s="132" t="str">
        <f aca="false">IF(AA59&lt;AC59,"KO",IF(AND(AA59&gt;0,AB59=0),"NO RESP","OK"))</f>
        <v>OK</v>
      </c>
      <c r="AE59" s="133" t="s">
        <v>217</v>
      </c>
    </row>
    <row r="60" customFormat="false" ht="15" hidden="false" customHeight="true" outlineLevel="0" collapsed="false">
      <c r="A60" s="129" t="n">
        <v>0.791666666666667</v>
      </c>
      <c r="B60" s="130" t="n">
        <v>0.95</v>
      </c>
      <c r="C60" s="113" t="n">
        <f aca="false">SUMPRODUCT((Turni!$F$5:$F$27&lt;=$A60)*(Turni!$G$5:$G$27&gt;$A60))</f>
        <v>5</v>
      </c>
      <c r="D60" s="113" t="n">
        <f aca="false">SUMPRODUCT((Turni!$F$5:$F$27&lt;=$A60)*(Turni!$G$5:$G$27&gt;$A60)*(Turni!$B$5:$B$27="RESP"))</f>
        <v>2</v>
      </c>
      <c r="E60" s="131" t="n">
        <f aca="false">IF($A60&lt;Parametri!B$63,0,MAX(Parametri!$B$66,IF(AND($A60&gt;=8/24,$A60&lt;21/24),INDEX(Casse!B$6:B$18,INT($A60*24)-7)+Parametri!$B$17,0)+INT((OreRichieste!B$17-Casse!B$19-Casse!B$25)*$B60/SUMIFS($B$6:$B$68,$A$6:$A$68,"&gt;="&amp;Parametri!B$63)/0.25)))</f>
        <v>5</v>
      </c>
      <c r="F60" s="132" t="str">
        <f aca="false">IF(C60&lt;E60,"KO",IF(AND(C60&gt;0,D60=0),"NO RESP","OK"))</f>
        <v>OK</v>
      </c>
      <c r="G60" s="113" t="n">
        <f aca="false">SUMPRODUCT((Turni!$I$5:$I$27&lt;=$A60)*(Turni!$J$5:$J$27&gt;$A60))</f>
        <v>4</v>
      </c>
      <c r="H60" s="113" t="n">
        <f aca="false">SUMPRODUCT((Turni!$I$5:$I$27&lt;=$A60)*(Turni!$J$5:$J$27&gt;$A60)*(Turni!$B$5:$B$27="RESP"))</f>
        <v>1</v>
      </c>
      <c r="I60" s="131" t="n">
        <f aca="false">IF($A60&lt;Parametri!C$63,0,MAX(Parametri!$B$66,IF(AND($A60&gt;=8/24,$A60&lt;21/24),INDEX(Casse!C$6:C$18,INT($A60*24)-7)+Parametri!$B$17,0)+INT((OreRichieste!C$17-Casse!C$19-Casse!C$25)*$B60/SUMIFS($B$6:$B$68,$A$6:$A$68,"&gt;="&amp;Parametri!C$63)/0.25)))</f>
        <v>4</v>
      </c>
      <c r="J60" s="132" t="str">
        <f aca="false">IF(G60&lt;I60,"KO",IF(AND(G60&gt;0,H60=0),"NO RESP","OK"))</f>
        <v>OK</v>
      </c>
      <c r="K60" s="113" t="n">
        <f aca="false">SUMPRODUCT((Turni!$L$5:$L$27&lt;=$A60)*(Turni!$M$5:$M$27&gt;$A60))</f>
        <v>4</v>
      </c>
      <c r="L60" s="113" t="n">
        <f aca="false">SUMPRODUCT((Turni!$L$5:$L$27&lt;=$A60)*(Turni!$M$5:$M$27&gt;$A60)*(Turni!$B$5:$B$27="RESP"))</f>
        <v>1</v>
      </c>
      <c r="M60" s="131" t="n">
        <f aca="false">IF($A60&lt;Parametri!D$63,0,MAX(Parametri!$B$66,IF(AND($A60&gt;=8/24,$A60&lt;21/24),INDEX(Casse!D$6:D$18,INT($A60*24)-7)+Parametri!$B$17,0)+INT((OreRichieste!D$17-Casse!D$19-Casse!D$25)*$B60/SUMIFS($B$6:$B$68,$A$6:$A$68,"&gt;="&amp;Parametri!D$63)/0.25)))</f>
        <v>4</v>
      </c>
      <c r="N60" s="132" t="str">
        <f aca="false">IF(K60&lt;M60,"KO",IF(AND(K60&gt;0,L60=0),"NO RESP","OK"))</f>
        <v>OK</v>
      </c>
      <c r="O60" s="113" t="n">
        <f aca="false">SUMPRODUCT((Turni!$O$5:$O$27&lt;=$A60)*(Turni!$P$5:$P$27&gt;$A60))</f>
        <v>5</v>
      </c>
      <c r="P60" s="113" t="n">
        <f aca="false">SUMPRODUCT((Turni!$O$5:$O$27&lt;=$A60)*(Turni!$P$5:$P$27&gt;$A60)*(Turni!$B$5:$B$27="RESP"))</f>
        <v>2</v>
      </c>
      <c r="Q60" s="131" t="n">
        <f aca="false">IF($A60&lt;Parametri!E$63,0,MAX(Parametri!$B$66,IF(AND($A60&gt;=8/24,$A60&lt;21/24),INDEX(Casse!E$6:E$18,INT($A60*24)-7)+Parametri!$B$17,0)+INT((OreRichieste!E$17-Casse!E$19-Casse!E$25)*$B60/SUMIFS($B$6:$B$68,$A$6:$A$68,"&gt;="&amp;Parametri!E$63)/0.25)))</f>
        <v>5</v>
      </c>
      <c r="R60" s="132" t="str">
        <f aca="false">IF(O60&lt;Q60,"KO",IF(AND(O60&gt;0,P60=0),"NO RESP","OK"))</f>
        <v>OK</v>
      </c>
      <c r="S60" s="113" t="n">
        <f aca="false">SUMPRODUCT((Turni!$R$5:$R$27&lt;=$A60)*(Turni!$S$5:$S$27&gt;$A60))</f>
        <v>5</v>
      </c>
      <c r="T60" s="113" t="n">
        <f aca="false">SUMPRODUCT((Turni!$R$5:$R$27&lt;=$A60)*(Turni!$S$5:$S$27&gt;$A60)*(Turni!$B$5:$B$27="RESP"))</f>
        <v>2</v>
      </c>
      <c r="U60" s="131" t="n">
        <f aca="false">IF($A60&lt;Parametri!F$63,0,MAX(Parametri!$B$66,IF(AND($A60&gt;=8/24,$A60&lt;21/24),INDEX(Casse!F$6:F$18,INT($A60*24)-7)+Parametri!$B$17,0)+INT((OreRichieste!F$17-Casse!F$19-Casse!F$25)*$B60/SUMIFS($B$6:$B$68,$A$6:$A$68,"&gt;="&amp;Parametri!F$63)/0.25)))</f>
        <v>5</v>
      </c>
      <c r="V60" s="132" t="str">
        <f aca="false">IF(S60&lt;U60,"KO",IF(AND(S60&gt;0,T60=0),"NO RESP","OK"))</f>
        <v>OK</v>
      </c>
      <c r="W60" s="113" t="n">
        <f aca="false">SUMPRODUCT((Turni!$U$5:$U$27&lt;=$A60)*(Turni!$V$5:$V$27&gt;$A60))</f>
        <v>6</v>
      </c>
      <c r="X60" s="113" t="n">
        <f aca="false">SUMPRODUCT((Turni!$U$5:$U$27&lt;=$A60)*(Turni!$V$5:$V$27&gt;$A60)*(Turni!$B$5:$B$27="RESP"))</f>
        <v>2</v>
      </c>
      <c r="Y60" s="131" t="n">
        <f aca="false">IF($A60&lt;Parametri!G$63,0,MAX(Parametri!$B$66,IF(AND($A60&gt;=8/24,$A60&lt;21/24),INDEX(Casse!G$6:G$18,INT($A60*24)-7)+Parametri!$B$17,0)+INT((OreRichieste!G$17-Casse!G$19-Casse!G$25)*$B60/SUMIFS($B$6:$B$68,$A$6:$A$68,"&gt;="&amp;Parametri!G$63)/0.25)))</f>
        <v>6</v>
      </c>
      <c r="Z60" s="132" t="str">
        <f aca="false">IF(W60&lt;Y60,"KO",IF(AND(W60&gt;0,X60=0),"NO RESP","OK"))</f>
        <v>OK</v>
      </c>
      <c r="AA60" s="113" t="n">
        <f aca="false">SUMPRODUCT((Turni!$X$5:$X$27&lt;=$A60)*(Turni!$Y$5:$Y$27&gt;$A60))</f>
        <v>4</v>
      </c>
      <c r="AB60" s="113" t="n">
        <f aca="false">SUMPRODUCT((Turni!$X$5:$X$27&lt;=$A60)*(Turni!$Y$5:$Y$27&gt;$A60)*(Turni!$B$5:$B$27="RESP"))</f>
        <v>1</v>
      </c>
      <c r="AC60" s="131" t="n">
        <f aca="false">IF($A60&lt;Parametri!H$63,0,MAX(Parametri!$B$66,IF(AND($A60&gt;=8/24,$A60&lt;21/24),INDEX(Casse!H$6:H$18,INT($A60*24)-7)+Parametri!$B$17,0)+INT((OreRichieste!H$17-Casse!H$19-Casse!H$25)*$B60/SUMIFS($B$6:$B$68,$A$6:$A$68,"&gt;="&amp;Parametri!H$63)/0.25)))</f>
        <v>4</v>
      </c>
      <c r="AD60" s="132" t="str">
        <f aca="false">IF(AA60&lt;AC60,"KO",IF(AND(AA60&gt;0,AB60=0),"NO RESP","OK"))</f>
        <v>OK</v>
      </c>
      <c r="AE60" s="133" t="s">
        <v>218</v>
      </c>
    </row>
    <row r="61" customFormat="false" ht="15" hidden="false" customHeight="true" outlineLevel="0" collapsed="false">
      <c r="A61" s="129" t="n">
        <v>0.802083333333333</v>
      </c>
      <c r="B61" s="130" t="n">
        <v>0.95</v>
      </c>
      <c r="C61" s="113" t="n">
        <f aca="false">SUMPRODUCT((Turni!$F$5:$F$27&lt;=$A61)*(Turni!$G$5:$G$27&gt;$A61))</f>
        <v>5</v>
      </c>
      <c r="D61" s="113" t="n">
        <f aca="false">SUMPRODUCT((Turni!$F$5:$F$27&lt;=$A61)*(Turni!$G$5:$G$27&gt;$A61)*(Turni!$B$5:$B$27="RESP"))</f>
        <v>2</v>
      </c>
      <c r="E61" s="131" t="n">
        <f aca="false">IF($A61&lt;Parametri!B$63,0,MAX(Parametri!$B$66,IF(AND($A61&gt;=8/24,$A61&lt;21/24),INDEX(Casse!B$6:B$18,INT($A61*24)-7)+Parametri!$B$17,0)+INT((OreRichieste!B$17-Casse!B$19-Casse!B$25)*$B61/SUMIFS($B$6:$B$68,$A$6:$A$68,"&gt;="&amp;Parametri!B$63)/0.25)))</f>
        <v>5</v>
      </c>
      <c r="F61" s="132" t="str">
        <f aca="false">IF(C61&lt;E61,"KO",IF(AND(C61&gt;0,D61=0),"NO RESP","OK"))</f>
        <v>OK</v>
      </c>
      <c r="G61" s="113" t="n">
        <f aca="false">SUMPRODUCT((Turni!$I$5:$I$27&lt;=$A61)*(Turni!$J$5:$J$27&gt;$A61))</f>
        <v>4</v>
      </c>
      <c r="H61" s="113" t="n">
        <f aca="false">SUMPRODUCT((Turni!$I$5:$I$27&lt;=$A61)*(Turni!$J$5:$J$27&gt;$A61)*(Turni!$B$5:$B$27="RESP"))</f>
        <v>1</v>
      </c>
      <c r="I61" s="131" t="n">
        <f aca="false">IF($A61&lt;Parametri!C$63,0,MAX(Parametri!$B$66,IF(AND($A61&gt;=8/24,$A61&lt;21/24),INDEX(Casse!C$6:C$18,INT($A61*24)-7)+Parametri!$B$17,0)+INT((OreRichieste!C$17-Casse!C$19-Casse!C$25)*$B61/SUMIFS($B$6:$B$68,$A$6:$A$68,"&gt;="&amp;Parametri!C$63)/0.25)))</f>
        <v>4</v>
      </c>
      <c r="J61" s="132" t="str">
        <f aca="false">IF(G61&lt;I61,"KO",IF(AND(G61&gt;0,H61=0),"NO RESP","OK"))</f>
        <v>OK</v>
      </c>
      <c r="K61" s="113" t="n">
        <f aca="false">SUMPRODUCT((Turni!$L$5:$L$27&lt;=$A61)*(Turni!$M$5:$M$27&gt;$A61))</f>
        <v>4</v>
      </c>
      <c r="L61" s="113" t="n">
        <f aca="false">SUMPRODUCT((Turni!$L$5:$L$27&lt;=$A61)*(Turni!$M$5:$M$27&gt;$A61)*(Turni!$B$5:$B$27="RESP"))</f>
        <v>1</v>
      </c>
      <c r="M61" s="131" t="n">
        <f aca="false">IF($A61&lt;Parametri!D$63,0,MAX(Parametri!$B$66,IF(AND($A61&gt;=8/24,$A61&lt;21/24),INDEX(Casse!D$6:D$18,INT($A61*24)-7)+Parametri!$B$17,0)+INT((OreRichieste!D$17-Casse!D$19-Casse!D$25)*$B61/SUMIFS($B$6:$B$68,$A$6:$A$68,"&gt;="&amp;Parametri!D$63)/0.25)))</f>
        <v>4</v>
      </c>
      <c r="N61" s="132" t="str">
        <f aca="false">IF(K61&lt;M61,"KO",IF(AND(K61&gt;0,L61=0),"NO RESP","OK"))</f>
        <v>OK</v>
      </c>
      <c r="O61" s="113" t="n">
        <f aca="false">SUMPRODUCT((Turni!$O$5:$O$27&lt;=$A61)*(Turni!$P$5:$P$27&gt;$A61))</f>
        <v>5</v>
      </c>
      <c r="P61" s="113" t="n">
        <f aca="false">SUMPRODUCT((Turni!$O$5:$O$27&lt;=$A61)*(Turni!$P$5:$P$27&gt;$A61)*(Turni!$B$5:$B$27="RESP"))</f>
        <v>2</v>
      </c>
      <c r="Q61" s="131" t="n">
        <f aca="false">IF($A61&lt;Parametri!E$63,0,MAX(Parametri!$B$66,IF(AND($A61&gt;=8/24,$A61&lt;21/24),INDEX(Casse!E$6:E$18,INT($A61*24)-7)+Parametri!$B$17,0)+INT((OreRichieste!E$17-Casse!E$19-Casse!E$25)*$B61/SUMIFS($B$6:$B$68,$A$6:$A$68,"&gt;="&amp;Parametri!E$63)/0.25)))</f>
        <v>5</v>
      </c>
      <c r="R61" s="132" t="str">
        <f aca="false">IF(O61&lt;Q61,"KO",IF(AND(O61&gt;0,P61=0),"NO RESP","OK"))</f>
        <v>OK</v>
      </c>
      <c r="S61" s="113" t="n">
        <f aca="false">SUMPRODUCT((Turni!$R$5:$R$27&lt;=$A61)*(Turni!$S$5:$S$27&gt;$A61))</f>
        <v>5</v>
      </c>
      <c r="T61" s="113" t="n">
        <f aca="false">SUMPRODUCT((Turni!$R$5:$R$27&lt;=$A61)*(Turni!$S$5:$S$27&gt;$A61)*(Turni!$B$5:$B$27="RESP"))</f>
        <v>2</v>
      </c>
      <c r="U61" s="131" t="n">
        <f aca="false">IF($A61&lt;Parametri!F$63,0,MAX(Parametri!$B$66,IF(AND($A61&gt;=8/24,$A61&lt;21/24),INDEX(Casse!F$6:F$18,INT($A61*24)-7)+Parametri!$B$17,0)+INT((OreRichieste!F$17-Casse!F$19-Casse!F$25)*$B61/SUMIFS($B$6:$B$68,$A$6:$A$68,"&gt;="&amp;Parametri!F$63)/0.25)))</f>
        <v>5</v>
      </c>
      <c r="V61" s="132" t="str">
        <f aca="false">IF(S61&lt;U61,"KO",IF(AND(S61&gt;0,T61=0),"NO RESP","OK"))</f>
        <v>OK</v>
      </c>
      <c r="W61" s="113" t="n">
        <f aca="false">SUMPRODUCT((Turni!$U$5:$U$27&lt;=$A61)*(Turni!$V$5:$V$27&gt;$A61))</f>
        <v>6</v>
      </c>
      <c r="X61" s="113" t="n">
        <f aca="false">SUMPRODUCT((Turni!$U$5:$U$27&lt;=$A61)*(Turni!$V$5:$V$27&gt;$A61)*(Turni!$B$5:$B$27="RESP"))</f>
        <v>2</v>
      </c>
      <c r="Y61" s="131" t="n">
        <f aca="false">IF($A61&lt;Parametri!G$63,0,MAX(Parametri!$B$66,IF(AND($A61&gt;=8/24,$A61&lt;21/24),INDEX(Casse!G$6:G$18,INT($A61*24)-7)+Parametri!$B$17,0)+INT((OreRichieste!G$17-Casse!G$19-Casse!G$25)*$B61/SUMIFS($B$6:$B$68,$A$6:$A$68,"&gt;="&amp;Parametri!G$63)/0.25)))</f>
        <v>6</v>
      </c>
      <c r="Z61" s="132" t="str">
        <f aca="false">IF(W61&lt;Y61,"KO",IF(AND(W61&gt;0,X61=0),"NO RESP","OK"))</f>
        <v>OK</v>
      </c>
      <c r="AA61" s="113" t="n">
        <f aca="false">SUMPRODUCT((Turni!$X$5:$X$27&lt;=$A61)*(Turni!$Y$5:$Y$27&gt;$A61))</f>
        <v>4</v>
      </c>
      <c r="AB61" s="113" t="n">
        <f aca="false">SUMPRODUCT((Turni!$X$5:$X$27&lt;=$A61)*(Turni!$Y$5:$Y$27&gt;$A61)*(Turni!$B$5:$B$27="RESP"))</f>
        <v>1</v>
      </c>
      <c r="AC61" s="131" t="n">
        <f aca="false">IF($A61&lt;Parametri!H$63,0,MAX(Parametri!$B$66,IF(AND($A61&gt;=8/24,$A61&lt;21/24),INDEX(Casse!H$6:H$18,INT($A61*24)-7)+Parametri!$B$17,0)+INT((OreRichieste!H$17-Casse!H$19-Casse!H$25)*$B61/SUMIFS($B$6:$B$68,$A$6:$A$68,"&gt;="&amp;Parametri!H$63)/0.25)))</f>
        <v>4</v>
      </c>
      <c r="AD61" s="132" t="str">
        <f aca="false">IF(AA61&lt;AC61,"KO",IF(AND(AA61&gt;0,AB61=0),"NO RESP","OK"))</f>
        <v>OK</v>
      </c>
      <c r="AE61" s="133" t="s">
        <v>219</v>
      </c>
    </row>
    <row r="62" customFormat="false" ht="15" hidden="false" customHeight="true" outlineLevel="0" collapsed="false">
      <c r="A62" s="129" t="n">
        <v>0.8125</v>
      </c>
      <c r="B62" s="130" t="n">
        <v>0.95</v>
      </c>
      <c r="C62" s="113" t="n">
        <f aca="false">SUMPRODUCT((Turni!$F$5:$F$27&lt;=$A62)*(Turni!$G$5:$G$27&gt;$A62))</f>
        <v>5</v>
      </c>
      <c r="D62" s="113" t="n">
        <f aca="false">SUMPRODUCT((Turni!$F$5:$F$27&lt;=$A62)*(Turni!$G$5:$G$27&gt;$A62)*(Turni!$B$5:$B$27="RESP"))</f>
        <v>2</v>
      </c>
      <c r="E62" s="131" t="n">
        <f aca="false">IF($A62&lt;Parametri!B$63,0,MAX(Parametri!$B$66,IF(AND($A62&gt;=8/24,$A62&lt;21/24),INDEX(Casse!B$6:B$18,INT($A62*24)-7)+Parametri!$B$17,0)+INT((OreRichieste!B$17-Casse!B$19-Casse!B$25)*$B62/SUMIFS($B$6:$B$68,$A$6:$A$68,"&gt;="&amp;Parametri!B$63)/0.25)))</f>
        <v>5</v>
      </c>
      <c r="F62" s="132" t="str">
        <f aca="false">IF(C62&lt;E62,"KO",IF(AND(C62&gt;0,D62=0),"NO RESP","OK"))</f>
        <v>OK</v>
      </c>
      <c r="G62" s="113" t="n">
        <f aca="false">SUMPRODUCT((Turni!$I$5:$I$27&lt;=$A62)*(Turni!$J$5:$J$27&gt;$A62))</f>
        <v>4</v>
      </c>
      <c r="H62" s="113" t="n">
        <f aca="false">SUMPRODUCT((Turni!$I$5:$I$27&lt;=$A62)*(Turni!$J$5:$J$27&gt;$A62)*(Turni!$B$5:$B$27="RESP"))</f>
        <v>1</v>
      </c>
      <c r="I62" s="131" t="n">
        <f aca="false">IF($A62&lt;Parametri!C$63,0,MAX(Parametri!$B$66,IF(AND($A62&gt;=8/24,$A62&lt;21/24),INDEX(Casse!C$6:C$18,INT($A62*24)-7)+Parametri!$B$17,0)+INT((OreRichieste!C$17-Casse!C$19-Casse!C$25)*$B62/SUMIFS($B$6:$B$68,$A$6:$A$68,"&gt;="&amp;Parametri!C$63)/0.25)))</f>
        <v>4</v>
      </c>
      <c r="J62" s="132" t="str">
        <f aca="false">IF(G62&lt;I62,"KO",IF(AND(G62&gt;0,H62=0),"NO RESP","OK"))</f>
        <v>OK</v>
      </c>
      <c r="K62" s="113" t="n">
        <f aca="false">SUMPRODUCT((Turni!$L$5:$L$27&lt;=$A62)*(Turni!$M$5:$M$27&gt;$A62))</f>
        <v>4</v>
      </c>
      <c r="L62" s="113" t="n">
        <f aca="false">SUMPRODUCT((Turni!$L$5:$L$27&lt;=$A62)*(Turni!$M$5:$M$27&gt;$A62)*(Turni!$B$5:$B$27="RESP"))</f>
        <v>1</v>
      </c>
      <c r="M62" s="131" t="n">
        <f aca="false">IF($A62&lt;Parametri!D$63,0,MAX(Parametri!$B$66,IF(AND($A62&gt;=8/24,$A62&lt;21/24),INDEX(Casse!D$6:D$18,INT($A62*24)-7)+Parametri!$B$17,0)+INT((OreRichieste!D$17-Casse!D$19-Casse!D$25)*$B62/SUMIFS($B$6:$B$68,$A$6:$A$68,"&gt;="&amp;Parametri!D$63)/0.25)))</f>
        <v>4</v>
      </c>
      <c r="N62" s="132" t="str">
        <f aca="false">IF(K62&lt;M62,"KO",IF(AND(K62&gt;0,L62=0),"NO RESP","OK"))</f>
        <v>OK</v>
      </c>
      <c r="O62" s="113" t="n">
        <f aca="false">SUMPRODUCT((Turni!$O$5:$O$27&lt;=$A62)*(Turni!$P$5:$P$27&gt;$A62))</f>
        <v>4</v>
      </c>
      <c r="P62" s="113" t="n">
        <f aca="false">SUMPRODUCT((Turni!$O$5:$O$27&lt;=$A62)*(Turni!$P$5:$P$27&gt;$A62)*(Turni!$B$5:$B$27="RESP"))</f>
        <v>2</v>
      </c>
      <c r="Q62" s="131" t="n">
        <f aca="false">IF($A62&lt;Parametri!E$63,0,MAX(Parametri!$B$66,IF(AND($A62&gt;=8/24,$A62&lt;21/24),INDEX(Casse!E$6:E$18,INT($A62*24)-7)+Parametri!$B$17,0)+INT((OreRichieste!E$17-Casse!E$19-Casse!E$25)*$B62/SUMIFS($B$6:$B$68,$A$6:$A$68,"&gt;="&amp;Parametri!E$63)/0.25)))</f>
        <v>5</v>
      </c>
      <c r="R62" s="132" t="str">
        <f aca="false">IF(O62&lt;Q62,"KO",IF(AND(O62&gt;0,P62=0),"NO RESP","OK"))</f>
        <v>KO</v>
      </c>
      <c r="S62" s="113" t="n">
        <f aca="false">SUMPRODUCT((Turni!$R$5:$R$27&lt;=$A62)*(Turni!$S$5:$S$27&gt;$A62))</f>
        <v>5</v>
      </c>
      <c r="T62" s="113" t="n">
        <f aca="false">SUMPRODUCT((Turni!$R$5:$R$27&lt;=$A62)*(Turni!$S$5:$S$27&gt;$A62)*(Turni!$B$5:$B$27="RESP"))</f>
        <v>2</v>
      </c>
      <c r="U62" s="131" t="n">
        <f aca="false">IF($A62&lt;Parametri!F$63,0,MAX(Parametri!$B$66,IF(AND($A62&gt;=8/24,$A62&lt;21/24),INDEX(Casse!F$6:F$18,INT($A62*24)-7)+Parametri!$B$17,0)+INT((OreRichieste!F$17-Casse!F$19-Casse!F$25)*$B62/SUMIFS($B$6:$B$68,$A$6:$A$68,"&gt;="&amp;Parametri!F$63)/0.25)))</f>
        <v>5</v>
      </c>
      <c r="V62" s="132" t="str">
        <f aca="false">IF(S62&lt;U62,"KO",IF(AND(S62&gt;0,T62=0),"NO RESP","OK"))</f>
        <v>OK</v>
      </c>
      <c r="W62" s="113" t="n">
        <f aca="false">SUMPRODUCT((Turni!$U$5:$U$27&lt;=$A62)*(Turni!$V$5:$V$27&gt;$A62))</f>
        <v>6</v>
      </c>
      <c r="X62" s="113" t="n">
        <f aca="false">SUMPRODUCT((Turni!$U$5:$U$27&lt;=$A62)*(Turni!$V$5:$V$27&gt;$A62)*(Turni!$B$5:$B$27="RESP"))</f>
        <v>2</v>
      </c>
      <c r="Y62" s="131" t="n">
        <f aca="false">IF($A62&lt;Parametri!G$63,0,MAX(Parametri!$B$66,IF(AND($A62&gt;=8/24,$A62&lt;21/24),INDEX(Casse!G$6:G$18,INT($A62*24)-7)+Parametri!$B$17,0)+INT((OreRichieste!G$17-Casse!G$19-Casse!G$25)*$B62/SUMIFS($B$6:$B$68,$A$6:$A$68,"&gt;="&amp;Parametri!G$63)/0.25)))</f>
        <v>6</v>
      </c>
      <c r="Z62" s="132" t="str">
        <f aca="false">IF(W62&lt;Y62,"KO",IF(AND(W62&gt;0,X62=0),"NO RESP","OK"))</f>
        <v>OK</v>
      </c>
      <c r="AA62" s="113" t="n">
        <f aca="false">SUMPRODUCT((Turni!$X$5:$X$27&lt;=$A62)*(Turni!$Y$5:$Y$27&gt;$A62))</f>
        <v>4</v>
      </c>
      <c r="AB62" s="113" t="n">
        <f aca="false">SUMPRODUCT((Turni!$X$5:$X$27&lt;=$A62)*(Turni!$Y$5:$Y$27&gt;$A62)*(Turni!$B$5:$B$27="RESP"))</f>
        <v>1</v>
      </c>
      <c r="AC62" s="131" t="n">
        <f aca="false">IF($A62&lt;Parametri!H$63,0,MAX(Parametri!$B$66,IF(AND($A62&gt;=8/24,$A62&lt;21/24),INDEX(Casse!H$6:H$18,INT($A62*24)-7)+Parametri!$B$17,0)+INT((OreRichieste!H$17-Casse!H$19-Casse!H$25)*$B62/SUMIFS($B$6:$B$68,$A$6:$A$68,"&gt;="&amp;Parametri!H$63)/0.25)))</f>
        <v>4</v>
      </c>
      <c r="AD62" s="132" t="str">
        <f aca="false">IF(AA62&lt;AC62,"KO",IF(AND(AA62&gt;0,AB62=0),"NO RESP","OK"))</f>
        <v>OK</v>
      </c>
      <c r="AE62" s="133" t="s">
        <v>220</v>
      </c>
    </row>
    <row r="63" customFormat="false" ht="15" hidden="false" customHeight="true" outlineLevel="0" collapsed="false">
      <c r="A63" s="129" t="n">
        <v>0.822916666666667</v>
      </c>
      <c r="B63" s="130" t="n">
        <v>0.95</v>
      </c>
      <c r="C63" s="113" t="n">
        <f aca="false">SUMPRODUCT((Turni!$F$5:$F$27&lt;=$A63)*(Turni!$G$5:$G$27&gt;$A63))</f>
        <v>5</v>
      </c>
      <c r="D63" s="113" t="n">
        <f aca="false">SUMPRODUCT((Turni!$F$5:$F$27&lt;=$A63)*(Turni!$G$5:$G$27&gt;$A63)*(Turni!$B$5:$B$27="RESP"))</f>
        <v>2</v>
      </c>
      <c r="E63" s="131" t="n">
        <f aca="false">IF($A63&lt;Parametri!B$63,0,MAX(Parametri!$B$66,IF(AND($A63&gt;=8/24,$A63&lt;21/24),INDEX(Casse!B$6:B$18,INT($A63*24)-7)+Parametri!$B$17,0)+INT((OreRichieste!B$17-Casse!B$19-Casse!B$25)*$B63/SUMIFS($B$6:$B$68,$A$6:$A$68,"&gt;="&amp;Parametri!B$63)/0.25)))</f>
        <v>5</v>
      </c>
      <c r="F63" s="132" t="str">
        <f aca="false">IF(C63&lt;E63,"KO",IF(AND(C63&gt;0,D63=0),"NO RESP","OK"))</f>
        <v>OK</v>
      </c>
      <c r="G63" s="113" t="n">
        <f aca="false">SUMPRODUCT((Turni!$I$5:$I$27&lt;=$A63)*(Turni!$J$5:$J$27&gt;$A63))</f>
        <v>4</v>
      </c>
      <c r="H63" s="113" t="n">
        <f aca="false">SUMPRODUCT((Turni!$I$5:$I$27&lt;=$A63)*(Turni!$J$5:$J$27&gt;$A63)*(Turni!$B$5:$B$27="RESP"))</f>
        <v>1</v>
      </c>
      <c r="I63" s="131" t="n">
        <f aca="false">IF($A63&lt;Parametri!C$63,0,MAX(Parametri!$B$66,IF(AND($A63&gt;=8/24,$A63&lt;21/24),INDEX(Casse!C$6:C$18,INT($A63*24)-7)+Parametri!$B$17,0)+INT((OreRichieste!C$17-Casse!C$19-Casse!C$25)*$B63/SUMIFS($B$6:$B$68,$A$6:$A$68,"&gt;="&amp;Parametri!C$63)/0.25)))</f>
        <v>4</v>
      </c>
      <c r="J63" s="132" t="str">
        <f aca="false">IF(G63&lt;I63,"KO",IF(AND(G63&gt;0,H63=0),"NO RESP","OK"))</f>
        <v>OK</v>
      </c>
      <c r="K63" s="113" t="n">
        <f aca="false">SUMPRODUCT((Turni!$L$5:$L$27&lt;=$A63)*(Turni!$M$5:$M$27&gt;$A63))</f>
        <v>4</v>
      </c>
      <c r="L63" s="113" t="n">
        <f aca="false">SUMPRODUCT((Turni!$L$5:$L$27&lt;=$A63)*(Turni!$M$5:$M$27&gt;$A63)*(Turni!$B$5:$B$27="RESP"))</f>
        <v>1</v>
      </c>
      <c r="M63" s="131" t="n">
        <f aca="false">IF($A63&lt;Parametri!D$63,0,MAX(Parametri!$B$66,IF(AND($A63&gt;=8/24,$A63&lt;21/24),INDEX(Casse!D$6:D$18,INT($A63*24)-7)+Parametri!$B$17,0)+INT((OreRichieste!D$17-Casse!D$19-Casse!D$25)*$B63/SUMIFS($B$6:$B$68,$A$6:$A$68,"&gt;="&amp;Parametri!D$63)/0.25)))</f>
        <v>4</v>
      </c>
      <c r="N63" s="132" t="str">
        <f aca="false">IF(K63&lt;M63,"KO",IF(AND(K63&gt;0,L63=0),"NO RESP","OK"))</f>
        <v>OK</v>
      </c>
      <c r="O63" s="113" t="n">
        <f aca="false">SUMPRODUCT((Turni!$O$5:$O$27&lt;=$A63)*(Turni!$P$5:$P$27&gt;$A63))</f>
        <v>4</v>
      </c>
      <c r="P63" s="113" t="n">
        <f aca="false">SUMPRODUCT((Turni!$O$5:$O$27&lt;=$A63)*(Turni!$P$5:$P$27&gt;$A63)*(Turni!$B$5:$B$27="RESP"))</f>
        <v>2</v>
      </c>
      <c r="Q63" s="131" t="n">
        <f aca="false">IF($A63&lt;Parametri!E$63,0,MAX(Parametri!$B$66,IF(AND($A63&gt;=8/24,$A63&lt;21/24),INDEX(Casse!E$6:E$18,INT($A63*24)-7)+Parametri!$B$17,0)+INT((OreRichieste!E$17-Casse!E$19-Casse!E$25)*$B63/SUMIFS($B$6:$B$68,$A$6:$A$68,"&gt;="&amp;Parametri!E$63)/0.25)))</f>
        <v>5</v>
      </c>
      <c r="R63" s="132" t="str">
        <f aca="false">IF(O63&lt;Q63,"KO",IF(AND(O63&gt;0,P63=0),"NO RESP","OK"))</f>
        <v>KO</v>
      </c>
      <c r="S63" s="113" t="n">
        <f aca="false">SUMPRODUCT((Turni!$R$5:$R$27&lt;=$A63)*(Turni!$S$5:$S$27&gt;$A63))</f>
        <v>5</v>
      </c>
      <c r="T63" s="113" t="n">
        <f aca="false">SUMPRODUCT((Turni!$R$5:$R$27&lt;=$A63)*(Turni!$S$5:$S$27&gt;$A63)*(Turni!$B$5:$B$27="RESP"))</f>
        <v>2</v>
      </c>
      <c r="U63" s="131" t="n">
        <f aca="false">IF($A63&lt;Parametri!F$63,0,MAX(Parametri!$B$66,IF(AND($A63&gt;=8/24,$A63&lt;21/24),INDEX(Casse!F$6:F$18,INT($A63*24)-7)+Parametri!$B$17,0)+INT((OreRichieste!F$17-Casse!F$19-Casse!F$25)*$B63/SUMIFS($B$6:$B$68,$A$6:$A$68,"&gt;="&amp;Parametri!F$63)/0.25)))</f>
        <v>5</v>
      </c>
      <c r="V63" s="132" t="str">
        <f aca="false">IF(S63&lt;U63,"KO",IF(AND(S63&gt;0,T63=0),"NO RESP","OK"))</f>
        <v>OK</v>
      </c>
      <c r="W63" s="113" t="n">
        <f aca="false">SUMPRODUCT((Turni!$U$5:$U$27&lt;=$A63)*(Turni!$V$5:$V$27&gt;$A63))</f>
        <v>6</v>
      </c>
      <c r="X63" s="113" t="n">
        <f aca="false">SUMPRODUCT((Turni!$U$5:$U$27&lt;=$A63)*(Turni!$V$5:$V$27&gt;$A63)*(Turni!$B$5:$B$27="RESP"))</f>
        <v>2</v>
      </c>
      <c r="Y63" s="131" t="n">
        <f aca="false">IF($A63&lt;Parametri!G$63,0,MAX(Parametri!$B$66,IF(AND($A63&gt;=8/24,$A63&lt;21/24),INDEX(Casse!G$6:G$18,INT($A63*24)-7)+Parametri!$B$17,0)+INT((OreRichieste!G$17-Casse!G$19-Casse!G$25)*$B63/SUMIFS($B$6:$B$68,$A$6:$A$68,"&gt;="&amp;Parametri!G$63)/0.25)))</f>
        <v>6</v>
      </c>
      <c r="Z63" s="132" t="str">
        <f aca="false">IF(W63&lt;Y63,"KO",IF(AND(W63&gt;0,X63=0),"NO RESP","OK"))</f>
        <v>OK</v>
      </c>
      <c r="AA63" s="113" t="n">
        <f aca="false">SUMPRODUCT((Turni!$X$5:$X$27&lt;=$A63)*(Turni!$Y$5:$Y$27&gt;$A63))</f>
        <v>4</v>
      </c>
      <c r="AB63" s="113" t="n">
        <f aca="false">SUMPRODUCT((Turni!$X$5:$X$27&lt;=$A63)*(Turni!$Y$5:$Y$27&gt;$A63)*(Turni!$B$5:$B$27="RESP"))</f>
        <v>1</v>
      </c>
      <c r="AC63" s="131" t="n">
        <f aca="false">IF($A63&lt;Parametri!H$63,0,MAX(Parametri!$B$66,IF(AND($A63&gt;=8/24,$A63&lt;21/24),INDEX(Casse!H$6:H$18,INT($A63*24)-7)+Parametri!$B$17,0)+INT((OreRichieste!H$17-Casse!H$19-Casse!H$25)*$B63/SUMIFS($B$6:$B$68,$A$6:$A$68,"&gt;="&amp;Parametri!H$63)/0.25)))</f>
        <v>4</v>
      </c>
      <c r="AD63" s="132" t="str">
        <f aca="false">IF(AA63&lt;AC63,"KO",IF(AND(AA63&gt;0,AB63=0),"NO RESP","OK"))</f>
        <v>OK</v>
      </c>
      <c r="AE63" s="133" t="s">
        <v>221</v>
      </c>
    </row>
    <row r="64" customFormat="false" ht="15" hidden="false" customHeight="true" outlineLevel="0" collapsed="false">
      <c r="A64" s="129" t="n">
        <v>0.833333333333333</v>
      </c>
      <c r="B64" s="130" t="n">
        <v>0.7</v>
      </c>
      <c r="C64" s="113" t="n">
        <f aca="false">SUMPRODUCT((Turni!$F$5:$F$27&lt;=$A64)*(Turni!$G$5:$G$27&gt;$A64))</f>
        <v>3</v>
      </c>
      <c r="D64" s="113" t="n">
        <f aca="false">SUMPRODUCT((Turni!$F$5:$F$27&lt;=$A64)*(Turni!$G$5:$G$27&gt;$A64)*(Turni!$B$5:$B$27="RESP"))</f>
        <v>1</v>
      </c>
      <c r="E64" s="131" t="n">
        <f aca="false">IF($A64&lt;Parametri!B$63,0,MAX(Parametri!$B$66,IF(AND($A64&gt;=8/24,$A64&lt;21/24),INDEX(Casse!B$6:B$18,INT($A64*24)-7)+Parametri!$B$17,0)+INT((OreRichieste!B$17-Casse!B$19-Casse!B$25)*$B64/SUMIFS($B$6:$B$68,$A$6:$A$68,"&gt;="&amp;Parametri!B$63)/0.25)))</f>
        <v>3</v>
      </c>
      <c r="F64" s="132" t="str">
        <f aca="false">IF(C64&lt;E64,"KO",IF(AND(C64&gt;0,D64=0),"NO RESP","OK"))</f>
        <v>OK</v>
      </c>
      <c r="G64" s="113" t="n">
        <f aca="false">SUMPRODUCT((Turni!$I$5:$I$27&lt;=$A64)*(Turni!$J$5:$J$27&gt;$A64))</f>
        <v>3</v>
      </c>
      <c r="H64" s="113" t="n">
        <f aca="false">SUMPRODUCT((Turni!$I$5:$I$27&lt;=$A64)*(Turni!$J$5:$J$27&gt;$A64)*(Turni!$B$5:$B$27="RESP"))</f>
        <v>1</v>
      </c>
      <c r="I64" s="131" t="n">
        <f aca="false">IF($A64&lt;Parametri!C$63,0,MAX(Parametri!$B$66,IF(AND($A64&gt;=8/24,$A64&lt;21/24),INDEX(Casse!C$6:C$18,INT($A64*24)-7)+Parametri!$B$17,0)+INT((OreRichieste!C$17-Casse!C$19-Casse!C$25)*$B64/SUMIFS($B$6:$B$68,$A$6:$A$68,"&gt;="&amp;Parametri!C$63)/0.25)))</f>
        <v>3</v>
      </c>
      <c r="J64" s="132" t="str">
        <f aca="false">IF(G64&lt;I64,"KO",IF(AND(G64&gt;0,H64=0),"NO RESP","OK"))</f>
        <v>OK</v>
      </c>
      <c r="K64" s="113" t="n">
        <f aca="false">SUMPRODUCT((Turni!$L$5:$L$27&lt;=$A64)*(Turni!$M$5:$M$27&gt;$A64))</f>
        <v>3</v>
      </c>
      <c r="L64" s="113" t="n">
        <f aca="false">SUMPRODUCT((Turni!$L$5:$L$27&lt;=$A64)*(Turni!$M$5:$M$27&gt;$A64)*(Turni!$B$5:$B$27="RESP"))</f>
        <v>1</v>
      </c>
      <c r="M64" s="131" t="n">
        <f aca="false">IF($A64&lt;Parametri!D$63,0,MAX(Parametri!$B$66,IF(AND($A64&gt;=8/24,$A64&lt;21/24),INDEX(Casse!D$6:D$18,INT($A64*24)-7)+Parametri!$B$17,0)+INT((OreRichieste!D$17-Casse!D$19-Casse!D$25)*$B64/SUMIFS($B$6:$B$68,$A$6:$A$68,"&gt;="&amp;Parametri!D$63)/0.25)))</f>
        <v>3</v>
      </c>
      <c r="N64" s="132" t="str">
        <f aca="false">IF(K64&lt;M64,"KO",IF(AND(K64&gt;0,L64=0),"NO RESP","OK"))</f>
        <v>OK</v>
      </c>
      <c r="O64" s="113" t="n">
        <f aca="false">SUMPRODUCT((Turni!$O$5:$O$27&lt;=$A64)*(Turni!$P$5:$P$27&gt;$A64))</f>
        <v>3</v>
      </c>
      <c r="P64" s="113" t="n">
        <f aca="false">SUMPRODUCT((Turni!$O$5:$O$27&lt;=$A64)*(Turni!$P$5:$P$27&gt;$A64)*(Turni!$B$5:$B$27="RESP"))</f>
        <v>2</v>
      </c>
      <c r="Q64" s="131" t="n">
        <f aca="false">IF($A64&lt;Parametri!E$63,0,MAX(Parametri!$B$66,IF(AND($A64&gt;=8/24,$A64&lt;21/24),INDEX(Casse!E$6:E$18,INT($A64*24)-7)+Parametri!$B$17,0)+INT((OreRichieste!E$17-Casse!E$19-Casse!E$25)*$B64/SUMIFS($B$6:$B$68,$A$6:$A$68,"&gt;="&amp;Parametri!E$63)/0.25)))</f>
        <v>3</v>
      </c>
      <c r="R64" s="132" t="str">
        <f aca="false">IF(O64&lt;Q64,"KO",IF(AND(O64&gt;0,P64=0),"NO RESP","OK"))</f>
        <v>OK</v>
      </c>
      <c r="S64" s="113" t="n">
        <f aca="false">SUMPRODUCT((Turni!$R$5:$R$27&lt;=$A64)*(Turni!$S$5:$S$27&gt;$A64))</f>
        <v>3</v>
      </c>
      <c r="T64" s="113" t="n">
        <f aca="false">SUMPRODUCT((Turni!$R$5:$R$27&lt;=$A64)*(Turni!$S$5:$S$27&gt;$A64)*(Turni!$B$5:$B$27="RESP"))</f>
        <v>1</v>
      </c>
      <c r="U64" s="131" t="n">
        <f aca="false">IF($A64&lt;Parametri!F$63,0,MAX(Parametri!$B$66,IF(AND($A64&gt;=8/24,$A64&lt;21/24),INDEX(Casse!F$6:F$18,INT($A64*24)-7)+Parametri!$B$17,0)+INT((OreRichieste!F$17-Casse!F$19-Casse!F$25)*$B64/SUMIFS($B$6:$B$68,$A$6:$A$68,"&gt;="&amp;Parametri!F$63)/0.25)))</f>
        <v>3</v>
      </c>
      <c r="V64" s="132" t="str">
        <f aca="false">IF(S64&lt;U64,"KO",IF(AND(S64&gt;0,T64=0),"NO RESP","OK"))</f>
        <v>OK</v>
      </c>
      <c r="W64" s="113" t="n">
        <f aca="false">SUMPRODUCT((Turni!$U$5:$U$27&lt;=$A64)*(Turni!$V$5:$V$27&gt;$A64))</f>
        <v>4</v>
      </c>
      <c r="X64" s="113" t="n">
        <f aca="false">SUMPRODUCT((Turni!$U$5:$U$27&lt;=$A64)*(Turni!$V$5:$V$27&gt;$A64)*(Turni!$B$5:$B$27="RESP"))</f>
        <v>2</v>
      </c>
      <c r="Y64" s="131" t="n">
        <f aca="false">IF($A64&lt;Parametri!G$63,0,MAX(Parametri!$B$66,IF(AND($A64&gt;=8/24,$A64&lt;21/24),INDEX(Casse!G$6:G$18,INT($A64*24)-7)+Parametri!$B$17,0)+INT((OreRichieste!G$17-Casse!G$19-Casse!G$25)*$B64/SUMIFS($B$6:$B$68,$A$6:$A$68,"&gt;="&amp;Parametri!G$63)/0.25)))</f>
        <v>4</v>
      </c>
      <c r="Z64" s="132" t="str">
        <f aca="false">IF(W64&lt;Y64,"KO",IF(AND(W64&gt;0,X64=0),"NO RESP","OK"))</f>
        <v>OK</v>
      </c>
      <c r="AA64" s="113" t="n">
        <f aca="false">SUMPRODUCT((Turni!$X$5:$X$27&lt;=$A64)*(Turni!$Y$5:$Y$27&gt;$A64))</f>
        <v>3</v>
      </c>
      <c r="AB64" s="113" t="n">
        <f aca="false">SUMPRODUCT((Turni!$X$5:$X$27&lt;=$A64)*(Turni!$Y$5:$Y$27&gt;$A64)*(Turni!$B$5:$B$27="RESP"))</f>
        <v>1</v>
      </c>
      <c r="AC64" s="131" t="n">
        <f aca="false">IF($A64&lt;Parametri!H$63,0,MAX(Parametri!$B$66,IF(AND($A64&gt;=8/24,$A64&lt;21/24),INDEX(Casse!H$6:H$18,INT($A64*24)-7)+Parametri!$B$17,0)+INT((OreRichieste!H$17-Casse!H$19-Casse!H$25)*$B64/SUMIFS($B$6:$B$68,$A$6:$A$68,"&gt;="&amp;Parametri!H$63)/0.25)))</f>
        <v>3</v>
      </c>
      <c r="AD64" s="132" t="str">
        <f aca="false">IF(AA64&lt;AC64,"KO",IF(AND(AA64&gt;0,AB64=0),"NO RESP","OK"))</f>
        <v>OK</v>
      </c>
      <c r="AE64" s="133" t="s">
        <v>222</v>
      </c>
    </row>
    <row r="65" customFormat="false" ht="15" hidden="false" customHeight="true" outlineLevel="0" collapsed="false">
      <c r="A65" s="129" t="n">
        <v>0.84375</v>
      </c>
      <c r="B65" s="130" t="n">
        <v>0.7</v>
      </c>
      <c r="C65" s="113" t="n">
        <f aca="false">SUMPRODUCT((Turni!$F$5:$F$27&lt;=$A65)*(Turni!$G$5:$G$27&gt;$A65))</f>
        <v>3</v>
      </c>
      <c r="D65" s="113" t="n">
        <f aca="false">SUMPRODUCT((Turni!$F$5:$F$27&lt;=$A65)*(Turni!$G$5:$G$27&gt;$A65)*(Turni!$B$5:$B$27="RESP"))</f>
        <v>1</v>
      </c>
      <c r="E65" s="131" t="n">
        <f aca="false">IF($A65&lt;Parametri!B$63,0,MAX(Parametri!$B$66,IF(AND($A65&gt;=8/24,$A65&lt;21/24),INDEX(Casse!B$6:B$18,INT($A65*24)-7)+Parametri!$B$17,0)+INT((OreRichieste!B$17-Casse!B$19-Casse!B$25)*$B65/SUMIFS($B$6:$B$68,$A$6:$A$68,"&gt;="&amp;Parametri!B$63)/0.25)))</f>
        <v>3</v>
      </c>
      <c r="F65" s="132" t="str">
        <f aca="false">IF(C65&lt;E65,"KO",IF(AND(C65&gt;0,D65=0),"NO RESP","OK"))</f>
        <v>OK</v>
      </c>
      <c r="G65" s="113" t="n">
        <f aca="false">SUMPRODUCT((Turni!$I$5:$I$27&lt;=$A65)*(Turni!$J$5:$J$27&gt;$A65))</f>
        <v>3</v>
      </c>
      <c r="H65" s="113" t="n">
        <f aca="false">SUMPRODUCT((Turni!$I$5:$I$27&lt;=$A65)*(Turni!$J$5:$J$27&gt;$A65)*(Turni!$B$5:$B$27="RESP"))</f>
        <v>1</v>
      </c>
      <c r="I65" s="131" t="n">
        <f aca="false">IF($A65&lt;Parametri!C$63,0,MAX(Parametri!$B$66,IF(AND($A65&gt;=8/24,$A65&lt;21/24),INDEX(Casse!C$6:C$18,INT($A65*24)-7)+Parametri!$B$17,0)+INT((OreRichieste!C$17-Casse!C$19-Casse!C$25)*$B65/SUMIFS($B$6:$B$68,$A$6:$A$68,"&gt;="&amp;Parametri!C$63)/0.25)))</f>
        <v>3</v>
      </c>
      <c r="J65" s="132" t="str">
        <f aca="false">IF(G65&lt;I65,"KO",IF(AND(G65&gt;0,H65=0),"NO RESP","OK"))</f>
        <v>OK</v>
      </c>
      <c r="K65" s="113" t="n">
        <f aca="false">SUMPRODUCT((Turni!$L$5:$L$27&lt;=$A65)*(Turni!$M$5:$M$27&gt;$A65))</f>
        <v>3</v>
      </c>
      <c r="L65" s="113" t="n">
        <f aca="false">SUMPRODUCT((Turni!$L$5:$L$27&lt;=$A65)*(Turni!$M$5:$M$27&gt;$A65)*(Turni!$B$5:$B$27="RESP"))</f>
        <v>1</v>
      </c>
      <c r="M65" s="131" t="n">
        <f aca="false">IF($A65&lt;Parametri!D$63,0,MAX(Parametri!$B$66,IF(AND($A65&gt;=8/24,$A65&lt;21/24),INDEX(Casse!D$6:D$18,INT($A65*24)-7)+Parametri!$B$17,0)+INT((OreRichieste!D$17-Casse!D$19-Casse!D$25)*$B65/SUMIFS($B$6:$B$68,$A$6:$A$68,"&gt;="&amp;Parametri!D$63)/0.25)))</f>
        <v>3</v>
      </c>
      <c r="N65" s="132" t="str">
        <f aca="false">IF(K65&lt;M65,"KO",IF(AND(K65&gt;0,L65=0),"NO RESP","OK"))</f>
        <v>OK</v>
      </c>
      <c r="O65" s="113" t="n">
        <f aca="false">SUMPRODUCT((Turni!$O$5:$O$27&lt;=$A65)*(Turni!$P$5:$P$27&gt;$A65))</f>
        <v>3</v>
      </c>
      <c r="P65" s="113" t="n">
        <f aca="false">SUMPRODUCT((Turni!$O$5:$O$27&lt;=$A65)*(Turni!$P$5:$P$27&gt;$A65)*(Turni!$B$5:$B$27="RESP"))</f>
        <v>2</v>
      </c>
      <c r="Q65" s="131" t="n">
        <f aca="false">IF($A65&lt;Parametri!E$63,0,MAX(Parametri!$B$66,IF(AND($A65&gt;=8/24,$A65&lt;21/24),INDEX(Casse!E$6:E$18,INT($A65*24)-7)+Parametri!$B$17,0)+INT((OreRichieste!E$17-Casse!E$19-Casse!E$25)*$B65/SUMIFS($B$6:$B$68,$A$6:$A$68,"&gt;="&amp;Parametri!E$63)/0.25)))</f>
        <v>3</v>
      </c>
      <c r="R65" s="132" t="str">
        <f aca="false">IF(O65&lt;Q65,"KO",IF(AND(O65&gt;0,P65=0),"NO RESP","OK"))</f>
        <v>OK</v>
      </c>
      <c r="S65" s="113" t="n">
        <f aca="false">SUMPRODUCT((Turni!$R$5:$R$27&lt;=$A65)*(Turni!$S$5:$S$27&gt;$A65))</f>
        <v>3</v>
      </c>
      <c r="T65" s="113" t="n">
        <f aca="false">SUMPRODUCT((Turni!$R$5:$R$27&lt;=$A65)*(Turni!$S$5:$S$27&gt;$A65)*(Turni!$B$5:$B$27="RESP"))</f>
        <v>1</v>
      </c>
      <c r="U65" s="131" t="n">
        <f aca="false">IF($A65&lt;Parametri!F$63,0,MAX(Parametri!$B$66,IF(AND($A65&gt;=8/24,$A65&lt;21/24),INDEX(Casse!F$6:F$18,INT($A65*24)-7)+Parametri!$B$17,0)+INT((OreRichieste!F$17-Casse!F$19-Casse!F$25)*$B65/SUMIFS($B$6:$B$68,$A$6:$A$68,"&gt;="&amp;Parametri!F$63)/0.25)))</f>
        <v>3</v>
      </c>
      <c r="V65" s="132" t="str">
        <f aca="false">IF(S65&lt;U65,"KO",IF(AND(S65&gt;0,T65=0),"NO RESP","OK"))</f>
        <v>OK</v>
      </c>
      <c r="W65" s="113" t="n">
        <f aca="false">SUMPRODUCT((Turni!$U$5:$U$27&lt;=$A65)*(Turni!$V$5:$V$27&gt;$A65))</f>
        <v>4</v>
      </c>
      <c r="X65" s="113" t="n">
        <f aca="false">SUMPRODUCT((Turni!$U$5:$U$27&lt;=$A65)*(Turni!$V$5:$V$27&gt;$A65)*(Turni!$B$5:$B$27="RESP"))</f>
        <v>2</v>
      </c>
      <c r="Y65" s="131" t="n">
        <f aca="false">IF($A65&lt;Parametri!G$63,0,MAX(Parametri!$B$66,IF(AND($A65&gt;=8/24,$A65&lt;21/24),INDEX(Casse!G$6:G$18,INT($A65*24)-7)+Parametri!$B$17,0)+INT((OreRichieste!G$17-Casse!G$19-Casse!G$25)*$B65/SUMIFS($B$6:$B$68,$A$6:$A$68,"&gt;="&amp;Parametri!G$63)/0.25)))</f>
        <v>4</v>
      </c>
      <c r="Z65" s="132" t="str">
        <f aca="false">IF(W65&lt;Y65,"KO",IF(AND(W65&gt;0,X65=0),"NO RESP","OK"))</f>
        <v>OK</v>
      </c>
      <c r="AA65" s="113" t="n">
        <f aca="false">SUMPRODUCT((Turni!$X$5:$X$27&lt;=$A65)*(Turni!$Y$5:$Y$27&gt;$A65))</f>
        <v>3</v>
      </c>
      <c r="AB65" s="113" t="n">
        <f aca="false">SUMPRODUCT((Turni!$X$5:$X$27&lt;=$A65)*(Turni!$Y$5:$Y$27&gt;$A65)*(Turni!$B$5:$B$27="RESP"))</f>
        <v>1</v>
      </c>
      <c r="AC65" s="131" t="n">
        <f aca="false">IF($A65&lt;Parametri!H$63,0,MAX(Parametri!$B$66,IF(AND($A65&gt;=8/24,$A65&lt;21/24),INDEX(Casse!H$6:H$18,INT($A65*24)-7)+Parametri!$B$17,0)+INT((OreRichieste!H$17-Casse!H$19-Casse!H$25)*$B65/SUMIFS($B$6:$B$68,$A$6:$A$68,"&gt;="&amp;Parametri!H$63)/0.25)))</f>
        <v>3</v>
      </c>
      <c r="AD65" s="132" t="str">
        <f aca="false">IF(AA65&lt;AC65,"KO",IF(AND(AA65&gt;0,AB65=0),"NO RESP","OK"))</f>
        <v>OK</v>
      </c>
      <c r="AE65" s="133" t="s">
        <v>223</v>
      </c>
    </row>
    <row r="66" customFormat="false" ht="15" hidden="false" customHeight="true" outlineLevel="0" collapsed="false">
      <c r="A66" s="129" t="n">
        <v>0.854166666666667</v>
      </c>
      <c r="B66" s="130" t="n">
        <v>0.7</v>
      </c>
      <c r="C66" s="113" t="n">
        <f aca="false">SUMPRODUCT((Turni!$F$5:$F$27&lt;=$A66)*(Turni!$G$5:$G$27&gt;$A66))</f>
        <v>3</v>
      </c>
      <c r="D66" s="113" t="n">
        <f aca="false">SUMPRODUCT((Turni!$F$5:$F$27&lt;=$A66)*(Turni!$G$5:$G$27&gt;$A66)*(Turni!$B$5:$B$27="RESP"))</f>
        <v>1</v>
      </c>
      <c r="E66" s="131" t="n">
        <f aca="false">IF($A66&lt;Parametri!B$63,0,MAX(Parametri!$B$66,IF(AND($A66&gt;=8/24,$A66&lt;21/24),INDEX(Casse!B$6:B$18,INT($A66*24)-7)+Parametri!$B$17,0)+INT((OreRichieste!B$17-Casse!B$19-Casse!B$25)*$B66/SUMIFS($B$6:$B$68,$A$6:$A$68,"&gt;="&amp;Parametri!B$63)/0.25)))</f>
        <v>3</v>
      </c>
      <c r="F66" s="132" t="str">
        <f aca="false">IF(C66&lt;E66,"KO",IF(AND(C66&gt;0,D66=0),"NO RESP","OK"))</f>
        <v>OK</v>
      </c>
      <c r="G66" s="113" t="n">
        <f aca="false">SUMPRODUCT((Turni!$I$5:$I$27&lt;=$A66)*(Turni!$J$5:$J$27&gt;$A66))</f>
        <v>3</v>
      </c>
      <c r="H66" s="113" t="n">
        <f aca="false">SUMPRODUCT((Turni!$I$5:$I$27&lt;=$A66)*(Turni!$J$5:$J$27&gt;$A66)*(Turni!$B$5:$B$27="RESP"))</f>
        <v>1</v>
      </c>
      <c r="I66" s="131" t="n">
        <f aca="false">IF($A66&lt;Parametri!C$63,0,MAX(Parametri!$B$66,IF(AND($A66&gt;=8/24,$A66&lt;21/24),INDEX(Casse!C$6:C$18,INT($A66*24)-7)+Parametri!$B$17,0)+INT((OreRichieste!C$17-Casse!C$19-Casse!C$25)*$B66/SUMIFS($B$6:$B$68,$A$6:$A$68,"&gt;="&amp;Parametri!C$63)/0.25)))</f>
        <v>3</v>
      </c>
      <c r="J66" s="132" t="str">
        <f aca="false">IF(G66&lt;I66,"KO",IF(AND(G66&gt;0,H66=0),"NO RESP","OK"))</f>
        <v>OK</v>
      </c>
      <c r="K66" s="113" t="n">
        <f aca="false">SUMPRODUCT((Turni!$L$5:$L$27&lt;=$A66)*(Turni!$M$5:$M$27&gt;$A66))</f>
        <v>3</v>
      </c>
      <c r="L66" s="113" t="n">
        <f aca="false">SUMPRODUCT((Turni!$L$5:$L$27&lt;=$A66)*(Turni!$M$5:$M$27&gt;$A66)*(Turni!$B$5:$B$27="RESP"))</f>
        <v>1</v>
      </c>
      <c r="M66" s="131" t="n">
        <f aca="false">IF($A66&lt;Parametri!D$63,0,MAX(Parametri!$B$66,IF(AND($A66&gt;=8/24,$A66&lt;21/24),INDEX(Casse!D$6:D$18,INT($A66*24)-7)+Parametri!$B$17,0)+INT((OreRichieste!D$17-Casse!D$19-Casse!D$25)*$B66/SUMIFS($B$6:$B$68,$A$6:$A$68,"&gt;="&amp;Parametri!D$63)/0.25)))</f>
        <v>3</v>
      </c>
      <c r="N66" s="132" t="str">
        <f aca="false">IF(K66&lt;M66,"KO",IF(AND(K66&gt;0,L66=0),"NO RESP","OK"))</f>
        <v>OK</v>
      </c>
      <c r="O66" s="113" t="n">
        <f aca="false">SUMPRODUCT((Turni!$O$5:$O$27&lt;=$A66)*(Turni!$P$5:$P$27&gt;$A66))</f>
        <v>3</v>
      </c>
      <c r="P66" s="113" t="n">
        <f aca="false">SUMPRODUCT((Turni!$O$5:$O$27&lt;=$A66)*(Turni!$P$5:$P$27&gt;$A66)*(Turni!$B$5:$B$27="RESP"))</f>
        <v>2</v>
      </c>
      <c r="Q66" s="131" t="n">
        <f aca="false">IF($A66&lt;Parametri!E$63,0,MAX(Parametri!$B$66,IF(AND($A66&gt;=8/24,$A66&lt;21/24),INDEX(Casse!E$6:E$18,INT($A66*24)-7)+Parametri!$B$17,0)+INT((OreRichieste!E$17-Casse!E$19-Casse!E$25)*$B66/SUMIFS($B$6:$B$68,$A$6:$A$68,"&gt;="&amp;Parametri!E$63)/0.25)))</f>
        <v>3</v>
      </c>
      <c r="R66" s="132" t="str">
        <f aca="false">IF(O66&lt;Q66,"KO",IF(AND(O66&gt;0,P66=0),"NO RESP","OK"))</f>
        <v>OK</v>
      </c>
      <c r="S66" s="113" t="n">
        <f aca="false">SUMPRODUCT((Turni!$R$5:$R$27&lt;=$A66)*(Turni!$S$5:$S$27&gt;$A66))</f>
        <v>3</v>
      </c>
      <c r="T66" s="113" t="n">
        <f aca="false">SUMPRODUCT((Turni!$R$5:$R$27&lt;=$A66)*(Turni!$S$5:$S$27&gt;$A66)*(Turni!$B$5:$B$27="RESP"))</f>
        <v>1</v>
      </c>
      <c r="U66" s="131" t="n">
        <f aca="false">IF($A66&lt;Parametri!F$63,0,MAX(Parametri!$B$66,IF(AND($A66&gt;=8/24,$A66&lt;21/24),INDEX(Casse!F$6:F$18,INT($A66*24)-7)+Parametri!$B$17,0)+INT((OreRichieste!F$17-Casse!F$19-Casse!F$25)*$B66/SUMIFS($B$6:$B$68,$A$6:$A$68,"&gt;="&amp;Parametri!F$63)/0.25)))</f>
        <v>3</v>
      </c>
      <c r="V66" s="132" t="str">
        <f aca="false">IF(S66&lt;U66,"KO",IF(AND(S66&gt;0,T66=0),"NO RESP","OK"))</f>
        <v>OK</v>
      </c>
      <c r="W66" s="113" t="n">
        <f aca="false">SUMPRODUCT((Turni!$U$5:$U$27&lt;=$A66)*(Turni!$V$5:$V$27&gt;$A66))</f>
        <v>4</v>
      </c>
      <c r="X66" s="113" t="n">
        <f aca="false">SUMPRODUCT((Turni!$U$5:$U$27&lt;=$A66)*(Turni!$V$5:$V$27&gt;$A66)*(Turni!$B$5:$B$27="RESP"))</f>
        <v>2</v>
      </c>
      <c r="Y66" s="131" t="n">
        <f aca="false">IF($A66&lt;Parametri!G$63,0,MAX(Parametri!$B$66,IF(AND($A66&gt;=8/24,$A66&lt;21/24),INDEX(Casse!G$6:G$18,INT($A66*24)-7)+Parametri!$B$17,0)+INT((OreRichieste!G$17-Casse!G$19-Casse!G$25)*$B66/SUMIFS($B$6:$B$68,$A$6:$A$68,"&gt;="&amp;Parametri!G$63)/0.25)))</f>
        <v>4</v>
      </c>
      <c r="Z66" s="132" t="str">
        <f aca="false">IF(W66&lt;Y66,"KO",IF(AND(W66&gt;0,X66=0),"NO RESP","OK"))</f>
        <v>OK</v>
      </c>
      <c r="AA66" s="113" t="n">
        <f aca="false">SUMPRODUCT((Turni!$X$5:$X$27&lt;=$A66)*(Turni!$Y$5:$Y$27&gt;$A66))</f>
        <v>3</v>
      </c>
      <c r="AB66" s="113" t="n">
        <f aca="false">SUMPRODUCT((Turni!$X$5:$X$27&lt;=$A66)*(Turni!$Y$5:$Y$27&gt;$A66)*(Turni!$B$5:$B$27="RESP"))</f>
        <v>1</v>
      </c>
      <c r="AC66" s="131" t="n">
        <f aca="false">IF($A66&lt;Parametri!H$63,0,MAX(Parametri!$B$66,IF(AND($A66&gt;=8/24,$A66&lt;21/24),INDEX(Casse!H$6:H$18,INT($A66*24)-7)+Parametri!$B$17,0)+INT((OreRichieste!H$17-Casse!H$19-Casse!H$25)*$B66/SUMIFS($B$6:$B$68,$A$6:$A$68,"&gt;="&amp;Parametri!H$63)/0.25)))</f>
        <v>3</v>
      </c>
      <c r="AD66" s="132" t="str">
        <f aca="false">IF(AA66&lt;AC66,"KO",IF(AND(AA66&gt;0,AB66=0),"NO RESP","OK"))</f>
        <v>OK</v>
      </c>
      <c r="AE66" s="133" t="s">
        <v>224</v>
      </c>
    </row>
    <row r="67" customFormat="false" ht="15" hidden="false" customHeight="true" outlineLevel="0" collapsed="false">
      <c r="A67" s="129" t="n">
        <v>0.864583333333333</v>
      </c>
      <c r="B67" s="130" t="n">
        <v>0.7</v>
      </c>
      <c r="C67" s="113" t="n">
        <f aca="false">SUMPRODUCT((Turni!$F$5:$F$27&lt;=$A67)*(Turni!$G$5:$G$27&gt;$A67))</f>
        <v>3</v>
      </c>
      <c r="D67" s="113" t="n">
        <f aca="false">SUMPRODUCT((Turni!$F$5:$F$27&lt;=$A67)*(Turni!$G$5:$G$27&gt;$A67)*(Turni!$B$5:$B$27="RESP"))</f>
        <v>1</v>
      </c>
      <c r="E67" s="131" t="n">
        <f aca="false">IF($A67&lt;Parametri!B$63,0,MAX(Parametri!$B$66,IF(AND($A67&gt;=8/24,$A67&lt;21/24),INDEX(Casse!B$6:B$18,INT($A67*24)-7)+Parametri!$B$17,0)+INT((OreRichieste!B$17-Casse!B$19-Casse!B$25)*$B67/SUMIFS($B$6:$B$68,$A$6:$A$68,"&gt;="&amp;Parametri!B$63)/0.25)))</f>
        <v>3</v>
      </c>
      <c r="F67" s="132" t="str">
        <f aca="false">IF(C67&lt;E67,"KO",IF(AND(C67&gt;0,D67=0),"NO RESP","OK"))</f>
        <v>OK</v>
      </c>
      <c r="G67" s="113" t="n">
        <f aca="false">SUMPRODUCT((Turni!$I$5:$I$27&lt;=$A67)*(Turni!$J$5:$J$27&gt;$A67))</f>
        <v>3</v>
      </c>
      <c r="H67" s="113" t="n">
        <f aca="false">SUMPRODUCT((Turni!$I$5:$I$27&lt;=$A67)*(Turni!$J$5:$J$27&gt;$A67)*(Turni!$B$5:$B$27="RESP"))</f>
        <v>1</v>
      </c>
      <c r="I67" s="131" t="n">
        <f aca="false">IF($A67&lt;Parametri!C$63,0,MAX(Parametri!$B$66,IF(AND($A67&gt;=8/24,$A67&lt;21/24),INDEX(Casse!C$6:C$18,INT($A67*24)-7)+Parametri!$B$17,0)+INT((OreRichieste!C$17-Casse!C$19-Casse!C$25)*$B67/SUMIFS($B$6:$B$68,$A$6:$A$68,"&gt;="&amp;Parametri!C$63)/0.25)))</f>
        <v>3</v>
      </c>
      <c r="J67" s="132" t="str">
        <f aca="false">IF(G67&lt;I67,"KO",IF(AND(G67&gt;0,H67=0),"NO RESP","OK"))</f>
        <v>OK</v>
      </c>
      <c r="K67" s="113" t="n">
        <f aca="false">SUMPRODUCT((Turni!$L$5:$L$27&lt;=$A67)*(Turni!$M$5:$M$27&gt;$A67))</f>
        <v>3</v>
      </c>
      <c r="L67" s="113" t="n">
        <f aca="false">SUMPRODUCT((Turni!$L$5:$L$27&lt;=$A67)*(Turni!$M$5:$M$27&gt;$A67)*(Turni!$B$5:$B$27="RESP"))</f>
        <v>1</v>
      </c>
      <c r="M67" s="131" t="n">
        <f aca="false">IF($A67&lt;Parametri!D$63,0,MAX(Parametri!$B$66,IF(AND($A67&gt;=8/24,$A67&lt;21/24),INDEX(Casse!D$6:D$18,INT($A67*24)-7)+Parametri!$B$17,0)+INT((OreRichieste!D$17-Casse!D$19-Casse!D$25)*$B67/SUMIFS($B$6:$B$68,$A$6:$A$68,"&gt;="&amp;Parametri!D$63)/0.25)))</f>
        <v>3</v>
      </c>
      <c r="N67" s="132" t="str">
        <f aca="false">IF(K67&lt;M67,"KO",IF(AND(K67&gt;0,L67=0),"NO RESP","OK"))</f>
        <v>OK</v>
      </c>
      <c r="O67" s="113" t="n">
        <f aca="false">SUMPRODUCT((Turni!$O$5:$O$27&lt;=$A67)*(Turni!$P$5:$P$27&gt;$A67))</f>
        <v>3</v>
      </c>
      <c r="P67" s="113" t="n">
        <f aca="false">SUMPRODUCT((Turni!$O$5:$O$27&lt;=$A67)*(Turni!$P$5:$P$27&gt;$A67)*(Turni!$B$5:$B$27="RESP"))</f>
        <v>2</v>
      </c>
      <c r="Q67" s="131" t="n">
        <f aca="false">IF($A67&lt;Parametri!E$63,0,MAX(Parametri!$B$66,IF(AND($A67&gt;=8/24,$A67&lt;21/24),INDEX(Casse!E$6:E$18,INT($A67*24)-7)+Parametri!$B$17,0)+INT((OreRichieste!E$17-Casse!E$19-Casse!E$25)*$B67/SUMIFS($B$6:$B$68,$A$6:$A$68,"&gt;="&amp;Parametri!E$63)/0.25)))</f>
        <v>3</v>
      </c>
      <c r="R67" s="132" t="str">
        <f aca="false">IF(O67&lt;Q67,"KO",IF(AND(O67&gt;0,P67=0),"NO RESP","OK"))</f>
        <v>OK</v>
      </c>
      <c r="S67" s="113" t="n">
        <f aca="false">SUMPRODUCT((Turni!$R$5:$R$27&lt;=$A67)*(Turni!$S$5:$S$27&gt;$A67))</f>
        <v>3</v>
      </c>
      <c r="T67" s="113" t="n">
        <f aca="false">SUMPRODUCT((Turni!$R$5:$R$27&lt;=$A67)*(Turni!$S$5:$S$27&gt;$A67)*(Turni!$B$5:$B$27="RESP"))</f>
        <v>1</v>
      </c>
      <c r="U67" s="131" t="n">
        <f aca="false">IF($A67&lt;Parametri!F$63,0,MAX(Parametri!$B$66,IF(AND($A67&gt;=8/24,$A67&lt;21/24),INDEX(Casse!F$6:F$18,INT($A67*24)-7)+Parametri!$B$17,0)+INT((OreRichieste!F$17-Casse!F$19-Casse!F$25)*$B67/SUMIFS($B$6:$B$68,$A$6:$A$68,"&gt;="&amp;Parametri!F$63)/0.25)))</f>
        <v>3</v>
      </c>
      <c r="V67" s="132" t="str">
        <f aca="false">IF(S67&lt;U67,"KO",IF(AND(S67&gt;0,T67=0),"NO RESP","OK"))</f>
        <v>OK</v>
      </c>
      <c r="W67" s="113" t="n">
        <f aca="false">SUMPRODUCT((Turni!$U$5:$U$27&lt;=$A67)*(Turni!$V$5:$V$27&gt;$A67))</f>
        <v>4</v>
      </c>
      <c r="X67" s="113" t="n">
        <f aca="false">SUMPRODUCT((Turni!$U$5:$U$27&lt;=$A67)*(Turni!$V$5:$V$27&gt;$A67)*(Turni!$B$5:$B$27="RESP"))</f>
        <v>2</v>
      </c>
      <c r="Y67" s="131" t="n">
        <f aca="false">IF($A67&lt;Parametri!G$63,0,MAX(Parametri!$B$66,IF(AND($A67&gt;=8/24,$A67&lt;21/24),INDEX(Casse!G$6:G$18,INT($A67*24)-7)+Parametri!$B$17,0)+INT((OreRichieste!G$17-Casse!G$19-Casse!G$25)*$B67/SUMIFS($B$6:$B$68,$A$6:$A$68,"&gt;="&amp;Parametri!G$63)/0.25)))</f>
        <v>4</v>
      </c>
      <c r="Z67" s="132" t="str">
        <f aca="false">IF(W67&lt;Y67,"KO",IF(AND(W67&gt;0,X67=0),"NO RESP","OK"))</f>
        <v>OK</v>
      </c>
      <c r="AA67" s="113" t="n">
        <f aca="false">SUMPRODUCT((Turni!$X$5:$X$27&lt;=$A67)*(Turni!$Y$5:$Y$27&gt;$A67))</f>
        <v>3</v>
      </c>
      <c r="AB67" s="113" t="n">
        <f aca="false">SUMPRODUCT((Turni!$X$5:$X$27&lt;=$A67)*(Turni!$Y$5:$Y$27&gt;$A67)*(Turni!$B$5:$B$27="RESP"))</f>
        <v>1</v>
      </c>
      <c r="AC67" s="131" t="n">
        <f aca="false">IF($A67&lt;Parametri!H$63,0,MAX(Parametri!$B$66,IF(AND($A67&gt;=8/24,$A67&lt;21/24),INDEX(Casse!H$6:H$18,INT($A67*24)-7)+Parametri!$B$17,0)+INT((OreRichieste!H$17-Casse!H$19-Casse!H$25)*$B67/SUMIFS($B$6:$B$68,$A$6:$A$68,"&gt;="&amp;Parametri!H$63)/0.25)))</f>
        <v>3</v>
      </c>
      <c r="AD67" s="132" t="str">
        <f aca="false">IF(AA67&lt;AC67,"KO",IF(AND(AA67&gt;0,AB67=0),"NO RESP","OK"))</f>
        <v>OK</v>
      </c>
      <c r="AE67" s="133" t="s">
        <v>225</v>
      </c>
    </row>
    <row r="68" customFormat="false" ht="15" hidden="false" customHeight="true" outlineLevel="0" collapsed="false">
      <c r="A68" s="129" t="n">
        <v>0.875</v>
      </c>
      <c r="B68" s="130" t="n">
        <v>1.4</v>
      </c>
      <c r="C68" s="113" t="n">
        <f aca="false">SUMPRODUCT((Turni!$F$5:$F$27&lt;=$A68)*(Turni!$G$5:$G$27&gt;$A68))</f>
        <v>3</v>
      </c>
      <c r="D68" s="113" t="n">
        <f aca="false">SUMPRODUCT((Turni!$F$5:$F$27&lt;=$A68)*(Turni!$G$5:$G$27&gt;$A68)*(Turni!$B$5:$B$27="RESP"))</f>
        <v>1</v>
      </c>
      <c r="E68" s="131" t="n">
        <f aca="false">IF($A68&lt;Parametri!B$63,0,MAX(Parametri!$B$66,IF(AND($A68&gt;=8/24,$A68&lt;21/24),INDEX(Casse!B$6:B$18,INT($A68*24)-7)+Parametri!$B$17,0)+INT((OreRichieste!B$17-Casse!B$19-Casse!B$25)*$B68/SUMIFS($B$6:$B$68,$A$6:$A$68,"&gt;="&amp;Parametri!B$63)/0.25)))</f>
        <v>3</v>
      </c>
      <c r="F68" s="132" t="str">
        <f aca="false">IF(C68&lt;E68,"KO",IF(AND(C68&gt;0,D68=0),"NO RESP","OK"))</f>
        <v>OK</v>
      </c>
      <c r="G68" s="113" t="n">
        <f aca="false">SUMPRODUCT((Turni!$I$5:$I$27&lt;=$A68)*(Turni!$J$5:$J$27&gt;$A68))</f>
        <v>2</v>
      </c>
      <c r="H68" s="113" t="n">
        <f aca="false">SUMPRODUCT((Turni!$I$5:$I$27&lt;=$A68)*(Turni!$J$5:$J$27&gt;$A68)*(Turni!$B$5:$B$27="RESP"))</f>
        <v>1</v>
      </c>
      <c r="I68" s="131" t="n">
        <f aca="false">IF($A68&lt;Parametri!C$63,0,MAX(Parametri!$B$66,IF(AND($A68&gt;=8/24,$A68&lt;21/24),INDEX(Casse!C$6:C$18,INT($A68*24)-7)+Parametri!$B$17,0)+INT((OreRichieste!C$17-Casse!C$19-Casse!C$25)*$B68/SUMIFS($B$6:$B$68,$A$6:$A$68,"&gt;="&amp;Parametri!C$63)/0.25)))</f>
        <v>2</v>
      </c>
      <c r="J68" s="132" t="str">
        <f aca="false">IF(G68&lt;I68,"KO",IF(AND(G68&gt;0,H68=0),"NO RESP","OK"))</f>
        <v>OK</v>
      </c>
      <c r="K68" s="113" t="n">
        <f aca="false">SUMPRODUCT((Turni!$L$5:$L$27&lt;=$A68)*(Turni!$M$5:$M$27&gt;$A68))</f>
        <v>2</v>
      </c>
      <c r="L68" s="113" t="n">
        <f aca="false">SUMPRODUCT((Turni!$L$5:$L$27&lt;=$A68)*(Turni!$M$5:$M$27&gt;$A68)*(Turni!$B$5:$B$27="RESP"))</f>
        <v>1</v>
      </c>
      <c r="M68" s="131" t="n">
        <f aca="false">IF($A68&lt;Parametri!D$63,0,MAX(Parametri!$B$66,IF(AND($A68&gt;=8/24,$A68&lt;21/24),INDEX(Casse!D$6:D$18,INT($A68*24)-7)+Parametri!$B$17,0)+INT((OreRichieste!D$17-Casse!D$19-Casse!D$25)*$B68/SUMIFS($B$6:$B$68,$A$6:$A$68,"&gt;="&amp;Parametri!D$63)/0.25)))</f>
        <v>2</v>
      </c>
      <c r="N68" s="132" t="str">
        <f aca="false">IF(K68&lt;M68,"KO",IF(AND(K68&gt;0,L68=0),"NO RESP","OK"))</f>
        <v>OK</v>
      </c>
      <c r="O68" s="113" t="n">
        <f aca="false">SUMPRODUCT((Turni!$O$5:$O$27&lt;=$A68)*(Turni!$P$5:$P$27&gt;$A68))</f>
        <v>3</v>
      </c>
      <c r="P68" s="113" t="n">
        <f aca="false">SUMPRODUCT((Turni!$O$5:$O$27&lt;=$A68)*(Turni!$P$5:$P$27&gt;$A68)*(Turni!$B$5:$B$27="RESP"))</f>
        <v>2</v>
      </c>
      <c r="Q68" s="131" t="n">
        <f aca="false">IF($A68&lt;Parametri!E$63,0,MAX(Parametri!$B$66,IF(AND($A68&gt;=8/24,$A68&lt;21/24),INDEX(Casse!E$6:E$18,INT($A68*24)-7)+Parametri!$B$17,0)+INT((OreRichieste!E$17-Casse!E$19-Casse!E$25)*$B68/SUMIFS($B$6:$B$68,$A$6:$A$68,"&gt;="&amp;Parametri!E$63)/0.25)))</f>
        <v>3</v>
      </c>
      <c r="R68" s="132" t="str">
        <f aca="false">IF(O68&lt;Q68,"KO",IF(AND(O68&gt;0,P68=0),"NO RESP","OK"))</f>
        <v>OK</v>
      </c>
      <c r="S68" s="113" t="n">
        <f aca="false">SUMPRODUCT((Turni!$R$5:$R$27&lt;=$A68)*(Turni!$S$5:$S$27&gt;$A68))</f>
        <v>3</v>
      </c>
      <c r="T68" s="113" t="n">
        <f aca="false">SUMPRODUCT((Turni!$R$5:$R$27&lt;=$A68)*(Turni!$S$5:$S$27&gt;$A68)*(Turni!$B$5:$B$27="RESP"))</f>
        <v>1</v>
      </c>
      <c r="U68" s="131" t="n">
        <f aca="false">IF($A68&lt;Parametri!F$63,0,MAX(Parametri!$B$66,IF(AND($A68&gt;=8/24,$A68&lt;21/24),INDEX(Casse!F$6:F$18,INT($A68*24)-7)+Parametri!$B$17,0)+INT((OreRichieste!F$17-Casse!F$19-Casse!F$25)*$B68/SUMIFS($B$6:$B$68,$A$6:$A$68,"&gt;="&amp;Parametri!F$63)/0.25)))</f>
        <v>3</v>
      </c>
      <c r="V68" s="132" t="str">
        <f aca="false">IF(S68&lt;U68,"KO",IF(AND(S68&gt;0,T68=0),"NO RESP","OK"))</f>
        <v>OK</v>
      </c>
      <c r="W68" s="113" t="n">
        <f aca="false">SUMPRODUCT((Turni!$U$5:$U$27&lt;=$A68)*(Turni!$V$5:$V$27&gt;$A68))</f>
        <v>3</v>
      </c>
      <c r="X68" s="113" t="n">
        <f aca="false">SUMPRODUCT((Turni!$U$5:$U$27&lt;=$A68)*(Turni!$V$5:$V$27&gt;$A68)*(Turni!$B$5:$B$27="RESP"))</f>
        <v>2</v>
      </c>
      <c r="Y68" s="131" t="n">
        <f aca="false">IF($A68&lt;Parametri!G$63,0,MAX(Parametri!$B$66,IF(AND($A68&gt;=8/24,$A68&lt;21/24),INDEX(Casse!G$6:G$18,INT($A68*24)-7)+Parametri!$B$17,0)+INT((OreRichieste!G$17-Casse!G$19-Casse!G$25)*$B68/SUMIFS($B$6:$B$68,$A$6:$A$68,"&gt;="&amp;Parametri!G$63)/0.25)))</f>
        <v>3</v>
      </c>
      <c r="Z68" s="132" t="str">
        <f aca="false">IF(W68&lt;Y68,"KO",IF(AND(W68&gt;0,X68=0),"NO RESP","OK"))</f>
        <v>OK</v>
      </c>
      <c r="AA68" s="113" t="n">
        <f aca="false">SUMPRODUCT((Turni!$X$5:$X$27&lt;=$A68)*(Turni!$Y$5:$Y$27&gt;$A68))</f>
        <v>3</v>
      </c>
      <c r="AB68" s="113" t="n">
        <f aca="false">SUMPRODUCT((Turni!$X$5:$X$27&lt;=$A68)*(Turni!$Y$5:$Y$27&gt;$A68)*(Turni!$B$5:$B$27="RESP"))</f>
        <v>1</v>
      </c>
      <c r="AC68" s="131" t="n">
        <f aca="false">IF($A68&lt;Parametri!H$63,0,MAX(Parametri!$B$66,IF(AND($A68&gt;=8/24,$A68&lt;21/24),INDEX(Casse!H$6:H$18,INT($A68*24)-7)+Parametri!$B$17,0)+INT((OreRichieste!H$17-Casse!H$19-Casse!H$25)*$B68/SUMIFS($B$6:$B$68,$A$6:$A$68,"&gt;="&amp;Parametri!H$63)/0.25)))</f>
        <v>2</v>
      </c>
      <c r="AD68" s="132" t="str">
        <f aca="false">IF(AA68&lt;AC68,"KO",IF(AND(AA68&gt;0,AB68=0),"NO RESP","OK"))</f>
        <v>OK</v>
      </c>
      <c r="AE68" s="133" t="s">
        <v>226</v>
      </c>
    </row>
    <row r="70" customFormat="false" ht="15" hidden="false" customHeight="true" outlineLevel="0" collapsed="false">
      <c r="A70" s="134" t="s">
        <v>227</v>
      </c>
      <c r="C70" s="135" t="n">
        <f aca="false">COUNTIF(F6:F68,"KO")</f>
        <v>2</v>
      </c>
      <c r="G70" s="135" t="n">
        <f aca="false">COUNTIF(J6:J68,"KO")</f>
        <v>1</v>
      </c>
      <c r="K70" s="135" t="n">
        <f aca="false">COUNTIF(N6:N68,"KO")</f>
        <v>0</v>
      </c>
      <c r="O70" s="135" t="n">
        <f aca="false">COUNTIF(R6:R68,"KO")</f>
        <v>2</v>
      </c>
      <c r="S70" s="135" t="n">
        <f aca="false">COUNTIF(V6:V68,"KO")</f>
        <v>2</v>
      </c>
      <c r="W70" s="135" t="n">
        <f aca="false">COUNTIF(Z6:Z68,"KO")</f>
        <v>0</v>
      </c>
      <c r="AA70" s="135" t="n">
        <f aca="false">COUNTIF(AD6:AD68,"KO")</f>
        <v>0</v>
      </c>
    </row>
    <row r="71" customFormat="false" ht="15" hidden="false" customHeight="true" outlineLevel="0" collapsed="false">
      <c r="A71" s="134" t="s">
        <v>228</v>
      </c>
      <c r="C71" s="135" t="n">
        <f aca="false">COUNTIF(F6:F68,"NO RESP")</f>
        <v>0</v>
      </c>
      <c r="G71" s="135" t="n">
        <f aca="false">COUNTIF(J6:J68,"NO RESP")</f>
        <v>0</v>
      </c>
      <c r="K71" s="135" t="n">
        <f aca="false">COUNTIF(N6:N68,"NO RESP")</f>
        <v>0</v>
      </c>
      <c r="O71" s="135" t="n">
        <f aca="false">COUNTIF(R6:R68,"NO RESP")</f>
        <v>0</v>
      </c>
      <c r="S71" s="135" t="n">
        <f aca="false">COUNTIF(V6:V68,"NO RESP")</f>
        <v>0</v>
      </c>
      <c r="W71" s="135" t="n">
        <f aca="false">COUNTIF(Z6:Z68,"NO RESP")</f>
        <v>0</v>
      </c>
      <c r="AA71" s="135" t="n">
        <f aca="false">COUNTIF(AD6:AD68,"NO RESP")</f>
        <v>0</v>
      </c>
    </row>
    <row r="72" customFormat="false" ht="15" hidden="false" customHeight="true" outlineLevel="0" collapsed="false">
      <c r="A72" s="134" t="s">
        <v>229</v>
      </c>
      <c r="C72" s="135" t="n">
        <f aca="false">_xlfn.MINIFS(C6:C68,$A$6:$A$68,"&gt;="&amp;Parametri!B$63)</f>
        <v>3</v>
      </c>
      <c r="G72" s="135" t="n">
        <f aca="false">_xlfn.MINIFS(G6:G68,$A$6:$A$68,"&gt;="&amp;Parametri!C$63)</f>
        <v>2</v>
      </c>
      <c r="K72" s="135" t="n">
        <f aca="false">_xlfn.MINIFS(K6:K68,$A$6:$A$68,"&gt;="&amp;Parametri!D$63)</f>
        <v>2</v>
      </c>
      <c r="O72" s="135" t="n">
        <f aca="false">_xlfn.MINIFS(O6:O68,$A$6:$A$68,"&gt;="&amp;Parametri!E$63)</f>
        <v>3</v>
      </c>
      <c r="S72" s="135" t="n">
        <f aca="false">_xlfn.MINIFS(S6:S68,$A$6:$A$68,"&gt;="&amp;Parametri!F$63)</f>
        <v>3</v>
      </c>
      <c r="W72" s="135" t="n">
        <f aca="false">_xlfn.MINIFS(W6:W68,$A$6:$A$68,"&gt;="&amp;Parametri!G$63)</f>
        <v>3</v>
      </c>
      <c r="AA72" s="135" t="n">
        <f aca="false">_xlfn.MINIFS(AA6:AA68,$A$6:$A$68,"&gt;="&amp;Parametri!H$63)</f>
        <v>3</v>
      </c>
    </row>
    <row r="73" customFormat="false" ht="15" hidden="false" customHeight="true" outlineLevel="0" collapsed="false">
      <c r="A73" s="136" t="s">
        <v>230</v>
      </c>
      <c r="C73" s="103" t="str">
        <f aca="false">IF(AND(C70=0,C71=0),"OK","KO")</f>
        <v>KO</v>
      </c>
      <c r="G73" s="103" t="str">
        <f aca="false">IF(AND(G70=0,G71=0),"OK","KO")</f>
        <v>KO</v>
      </c>
      <c r="K73" s="103" t="str">
        <f aca="false">IF(AND(K70=0,K71=0),"OK","KO")</f>
        <v>OK</v>
      </c>
      <c r="O73" s="103" t="str">
        <f aca="false">IF(AND(O70=0,O71=0),"OK","KO")</f>
        <v>KO</v>
      </c>
      <c r="S73" s="103" t="str">
        <f aca="false">IF(AND(S70=0,S71=0),"OK","KO")</f>
        <v>KO</v>
      </c>
      <c r="W73" s="103" t="str">
        <f aca="false">IF(AND(W70=0,W71=0),"OK","KO")</f>
        <v>OK</v>
      </c>
      <c r="AA73" s="103" t="str">
        <f aca="false">IF(AND(AA70=0,AA71=0),"OK","KO")</f>
        <v>OK</v>
      </c>
    </row>
  </sheetData>
  <mergeCells count="8">
    <mergeCell ref="A1:AE1"/>
    <mergeCell ref="C3:F3"/>
    <mergeCell ref="G3:J3"/>
    <mergeCell ref="K3:N3"/>
    <mergeCell ref="O3:R3"/>
    <mergeCell ref="S3:V3"/>
    <mergeCell ref="W3:Z3"/>
    <mergeCell ref="AA3:AD3"/>
  </mergeCells>
  <conditionalFormatting sqref="C6:C68">
    <cfRule type="colorScale" priority="2">
      <colorScale>
        <cfvo type="num" val="0"/>
        <cfvo type="num" val="10"/>
        <color rgb="FFFFFFFF"/>
        <color rgb="FF7FB3E8"/>
      </colorScale>
    </cfRule>
  </conditionalFormatting>
  <conditionalFormatting sqref="F6:F68 N6:N68 R6:R68 V6:V68 Z6:Z68 AD6:AD68">
    <cfRule type="expression" priority="3" aboveAverage="0" equalAverage="0" bottom="0" percent="0" rank="0" text="" dxfId="4">
      <formula>OR(ISNUMBER(SEARCH("IN LINEA",F6)),ISNUMBER(SEARCH("OK",F6)))</formula>
    </cfRule>
    <cfRule type="expression" priority="4" aboveAverage="0" equalAverage="0" bottom="0" percent="0" rank="0" text="" dxfId="4">
      <formula>ISNUMBER(SEARCH("SOTTO",F6))</formula>
    </cfRule>
    <cfRule type="expression" priority="5" aboveAverage="0" equalAverage="0" bottom="0" percent="0" rank="0" text="" dxfId="4">
      <formula>OR(ISNUMBER(SEARCH("SOPRA",F6)),ISNUMBER(SEARCH("OLTRE",F6)),ISNUMBER(SEARCH("KO",F6)),ISNUMBER(SEARCH("NO RESP",F6)),ISNUMBER(SEARCH("ANOMAL",F6)))</formula>
    </cfRule>
  </conditionalFormatting>
  <conditionalFormatting sqref="G6:G68">
    <cfRule type="colorScale" priority="6">
      <colorScale>
        <cfvo type="num" val="0"/>
        <cfvo type="num" val="10"/>
        <color rgb="FFFFFFFF"/>
        <color rgb="FF7FB3E8"/>
      </colorScale>
    </cfRule>
  </conditionalFormatting>
  <conditionalFormatting sqref="J6:J68">
    <cfRule type="expression" priority="7" aboveAverage="0" equalAverage="0" bottom="0" percent="0" rank="0" text="" dxfId="4">
      <formula>OR(ISNUMBER(SEARCH("IN LINEA",J6)),ISNUMBER(SEARCH("OK",J6)))</formula>
    </cfRule>
    <cfRule type="expression" priority="8" aboveAverage="0" equalAverage="0" bottom="0" percent="0" rank="0" text="" dxfId="4">
      <formula>ISNUMBER(SEARCH("SOTTO",J6))</formula>
    </cfRule>
    <cfRule type="expression" priority="9" aboveAverage="0" equalAverage="0" bottom="0" percent="0" rank="0" text="" dxfId="4">
      <formula>OR(ISNUMBER(SEARCH("SOPRA",J6)),ISNUMBER(SEARCH("OLTRE",J6)),ISNUMBER(SEARCH("KO",J6)),ISNUMBER(SEARCH("NO RESP",J6)),ISNUMBER(SEARCH("ANOMAL",J6)))</formula>
    </cfRule>
  </conditionalFormatting>
  <conditionalFormatting sqref="K6:K68">
    <cfRule type="colorScale" priority="10">
      <colorScale>
        <cfvo type="num" val="0"/>
        <cfvo type="num" val="10"/>
        <color rgb="FFFFFFFF"/>
        <color rgb="FF7FB3E8"/>
      </colorScale>
    </cfRule>
  </conditionalFormatting>
  <conditionalFormatting sqref="O6:O68">
    <cfRule type="colorScale" priority="11">
      <colorScale>
        <cfvo type="num" val="0"/>
        <cfvo type="num" val="10"/>
        <color rgb="FFFFFFFF"/>
        <color rgb="FF7FB3E8"/>
      </colorScale>
    </cfRule>
  </conditionalFormatting>
  <conditionalFormatting sqref="S6:S68">
    <cfRule type="colorScale" priority="12">
      <colorScale>
        <cfvo type="num" val="0"/>
        <cfvo type="num" val="10"/>
        <color rgb="FFFFFFFF"/>
        <color rgb="FF7FB3E8"/>
      </colorScale>
    </cfRule>
  </conditionalFormatting>
  <conditionalFormatting sqref="W6:W68">
    <cfRule type="colorScale" priority="13">
      <colorScale>
        <cfvo type="num" val="0"/>
        <cfvo type="num" val="10"/>
        <color rgb="FFFFFFFF"/>
        <color rgb="FF7FB3E8"/>
      </colorScale>
    </cfRule>
  </conditionalFormatting>
  <conditionalFormatting sqref="AA6:AA68">
    <cfRule type="colorScale" priority="14">
      <colorScale>
        <cfvo type="num" val="0"/>
        <cfvo type="num" val="10"/>
        <color rgb="FFFFFFFF"/>
        <color rgb="FF7FB3E8"/>
      </colorScale>
    </cfRule>
  </conditionalFormatting>
  <conditionalFormatting sqref="C73">
    <cfRule type="expression" priority="15" aboveAverage="0" equalAverage="0" bottom="0" percent="0" rank="0" text="" dxfId="4">
      <formula>OR(ISNUMBER(SEARCH("IN LINEA",C73)),ISNUMBER(SEARCH("OK",C73)))</formula>
    </cfRule>
    <cfRule type="expression" priority="16" aboveAverage="0" equalAverage="0" bottom="0" percent="0" rank="0" text="" dxfId="4">
      <formula>ISNUMBER(SEARCH("SOTTO",C73))</formula>
    </cfRule>
    <cfRule type="expression" priority="17" aboveAverage="0" equalAverage="0" bottom="0" percent="0" rank="0" text="" dxfId="4">
      <formula>OR(ISNUMBER(SEARCH("SOPRA",C73)),ISNUMBER(SEARCH("OLTRE",C73)),ISNUMBER(SEARCH("KO",C73)),ISNUMBER(SEARCH("NO RESP",C73)),ISNUMBER(SEARCH("ANOMAL",C73)))</formula>
    </cfRule>
  </conditionalFormatting>
  <conditionalFormatting sqref="G73">
    <cfRule type="expression" priority="18" aboveAverage="0" equalAverage="0" bottom="0" percent="0" rank="0" text="" dxfId="4">
      <formula>OR(ISNUMBER(SEARCH("IN LINEA",G73)),ISNUMBER(SEARCH("OK",G73)))</formula>
    </cfRule>
    <cfRule type="expression" priority="19" aboveAverage="0" equalAverage="0" bottom="0" percent="0" rank="0" text="" dxfId="4">
      <formula>ISNUMBER(SEARCH("SOTTO",G73))</formula>
    </cfRule>
    <cfRule type="expression" priority="20" aboveAverage="0" equalAverage="0" bottom="0" percent="0" rank="0" text="" dxfId="4">
      <formula>OR(ISNUMBER(SEARCH("SOPRA",G73)),ISNUMBER(SEARCH("OLTRE",G73)),ISNUMBER(SEARCH("KO",G73)),ISNUMBER(SEARCH("NO RESP",G73)),ISNUMBER(SEARCH("ANOMAL",G73)))</formula>
    </cfRule>
  </conditionalFormatting>
  <conditionalFormatting sqref="K73">
    <cfRule type="expression" priority="21" aboveAverage="0" equalAverage="0" bottom="0" percent="0" rank="0" text="" dxfId="4">
      <formula>OR(ISNUMBER(SEARCH("IN LINEA",K73)),ISNUMBER(SEARCH("OK",K73)))</formula>
    </cfRule>
    <cfRule type="expression" priority="22" aboveAverage="0" equalAverage="0" bottom="0" percent="0" rank="0" text="" dxfId="4">
      <formula>ISNUMBER(SEARCH("SOTTO",K73))</formula>
    </cfRule>
    <cfRule type="expression" priority="23" aboveAverage="0" equalAverage="0" bottom="0" percent="0" rank="0" text="" dxfId="4">
      <formula>OR(ISNUMBER(SEARCH("SOPRA",K73)),ISNUMBER(SEARCH("OLTRE",K73)),ISNUMBER(SEARCH("KO",K73)),ISNUMBER(SEARCH("NO RESP",K73)),ISNUMBER(SEARCH("ANOMAL",K73)))</formula>
    </cfRule>
  </conditionalFormatting>
  <conditionalFormatting sqref="O73">
    <cfRule type="expression" priority="24" aboveAverage="0" equalAverage="0" bottom="0" percent="0" rank="0" text="" dxfId="4">
      <formula>OR(ISNUMBER(SEARCH("IN LINEA",O73)),ISNUMBER(SEARCH("OK",O73)))</formula>
    </cfRule>
    <cfRule type="expression" priority="25" aboveAverage="0" equalAverage="0" bottom="0" percent="0" rank="0" text="" dxfId="4">
      <formula>ISNUMBER(SEARCH("SOTTO",O73))</formula>
    </cfRule>
    <cfRule type="expression" priority="26" aboveAverage="0" equalAverage="0" bottom="0" percent="0" rank="0" text="" dxfId="4">
      <formula>OR(ISNUMBER(SEARCH("SOPRA",O73)),ISNUMBER(SEARCH("OLTRE",O73)),ISNUMBER(SEARCH("KO",O73)),ISNUMBER(SEARCH("NO RESP",O73)),ISNUMBER(SEARCH("ANOMAL",O73)))</formula>
    </cfRule>
  </conditionalFormatting>
  <conditionalFormatting sqref="S73">
    <cfRule type="expression" priority="27" aboveAverage="0" equalAverage="0" bottom="0" percent="0" rank="0" text="" dxfId="4">
      <formula>OR(ISNUMBER(SEARCH("IN LINEA",S73)),ISNUMBER(SEARCH("OK",S73)))</formula>
    </cfRule>
    <cfRule type="expression" priority="28" aboveAverage="0" equalAverage="0" bottom="0" percent="0" rank="0" text="" dxfId="4">
      <formula>ISNUMBER(SEARCH("SOTTO",S73))</formula>
    </cfRule>
    <cfRule type="expression" priority="29" aboveAverage="0" equalAverage="0" bottom="0" percent="0" rank="0" text="" dxfId="4">
      <formula>OR(ISNUMBER(SEARCH("SOPRA",S73)),ISNUMBER(SEARCH("OLTRE",S73)),ISNUMBER(SEARCH("KO",S73)),ISNUMBER(SEARCH("NO RESP",S73)),ISNUMBER(SEARCH("ANOMAL",S73)))</formula>
    </cfRule>
  </conditionalFormatting>
  <conditionalFormatting sqref="W73">
    <cfRule type="expression" priority="30" aboveAverage="0" equalAverage="0" bottom="0" percent="0" rank="0" text="" dxfId="4">
      <formula>OR(ISNUMBER(SEARCH("IN LINEA",W73)),ISNUMBER(SEARCH("OK",W73)))</formula>
    </cfRule>
    <cfRule type="expression" priority="31" aboveAverage="0" equalAverage="0" bottom="0" percent="0" rank="0" text="" dxfId="4">
      <formula>ISNUMBER(SEARCH("SOTTO",W73))</formula>
    </cfRule>
    <cfRule type="expression" priority="32" aboveAverage="0" equalAverage="0" bottom="0" percent="0" rank="0" text="" dxfId="4">
      <formula>OR(ISNUMBER(SEARCH("SOPRA",W73)),ISNUMBER(SEARCH("OLTRE",W73)),ISNUMBER(SEARCH("KO",W73)),ISNUMBER(SEARCH("NO RESP",W73)),ISNUMBER(SEARCH("ANOMAL",W73)))</formula>
    </cfRule>
  </conditionalFormatting>
  <conditionalFormatting sqref="AA73">
    <cfRule type="expression" priority="33" aboveAverage="0" equalAverage="0" bottom="0" percent="0" rank="0" text="" dxfId="4">
      <formula>OR(ISNUMBER(SEARCH("IN LINEA",AA73)),ISNUMBER(SEARCH("OK",AA73)))</formula>
    </cfRule>
    <cfRule type="expression" priority="34" aboveAverage="0" equalAverage="0" bottom="0" percent="0" rank="0" text="" dxfId="4">
      <formula>ISNUMBER(SEARCH("SOTTO",AA73))</formula>
    </cfRule>
    <cfRule type="expression" priority="35" aboveAverage="0" equalAverage="0" bottom="0" percent="0" rank="0" text="" dxfId="4">
      <formula>OR(ISNUMBER(SEARCH("SOPRA",AA73)),ISNUMBER(SEARCH("OLTRE",AA73)),ISNUMBER(SEARCH("KO",AA73)),ISNUMBER(SEARCH("NO RESP",AA73)),ISNUMBER(SEARCH("ANOMAL",AA73)))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800"/>
    <pageSetUpPr fitToPage="true"/>
  </sheetPr>
  <dimension ref="A1:H69"/>
  <sheetViews>
    <sheetView showFormulas="false" showGridLines="false" showRowColHeaders="true" showZeros="true" rightToLeft="false" tabSelected="false" showOutlineSymbols="true" defaultGridColor="true" view="normal" topLeftCell="A28" colorId="64" zoomScale="90" zoomScaleNormal="90" zoomScalePageLayoutView="100" workbookViewId="0">
      <selection pane="topLeft" activeCell="A31" activeCellId="0" sqref="A3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3.99"/>
    <col collapsed="false" customWidth="true" hidden="false" outlineLevel="0" max="7" min="2" style="1" width="13.5"/>
    <col collapsed="false" customWidth="true" hidden="false" outlineLevel="0" max="1025" min="8" style="1" width="8.67"/>
  </cols>
  <sheetData>
    <row r="1" customFormat="false" ht="25.5" hidden="false" customHeight="true" outlineLevel="0" collapsed="false">
      <c r="A1" s="82" t="s">
        <v>231</v>
      </c>
      <c r="B1" s="82"/>
      <c r="C1" s="82"/>
      <c r="D1" s="82"/>
      <c r="E1" s="82"/>
      <c r="F1" s="82"/>
      <c r="G1" s="82"/>
    </row>
    <row r="2" customFormat="false" ht="15" hidden="false" customHeight="true" outlineLevel="0" collapsed="false">
      <c r="A2" s="38" t="s">
        <v>232</v>
      </c>
    </row>
    <row r="4" customFormat="false" ht="19.5" hidden="false" customHeight="true" outlineLevel="0" collapsed="false">
      <c r="A4" s="33" t="s">
        <v>233</v>
      </c>
      <c r="B4" s="33"/>
      <c r="C4" s="33"/>
      <c r="D4" s="33"/>
      <c r="E4" s="33"/>
      <c r="F4" s="33"/>
      <c r="G4" s="33"/>
    </row>
    <row r="5" customFormat="false" ht="15" hidden="false" customHeight="true" outlineLevel="0" collapsed="false">
      <c r="A5" s="100" t="s">
        <v>234</v>
      </c>
      <c r="B5" s="137" t="n">
        <v>226000</v>
      </c>
    </row>
    <row r="6" customFormat="false" ht="15" hidden="false" customHeight="true" outlineLevel="0" collapsed="false">
      <c r="A6" s="100" t="s">
        <v>235</v>
      </c>
      <c r="B6" s="137" t="n">
        <v>136000</v>
      </c>
    </row>
    <row r="7" customFormat="false" ht="15" hidden="false" customHeight="true" outlineLevel="0" collapsed="false">
      <c r="A7" s="100" t="s">
        <v>236</v>
      </c>
      <c r="B7" s="138" t="n">
        <v>27.77</v>
      </c>
    </row>
    <row r="8" customFormat="false" ht="15" hidden="false" customHeight="true" outlineLevel="0" collapsed="false">
      <c r="A8" s="100" t="s">
        <v>237</v>
      </c>
      <c r="B8" s="139" t="n">
        <f aca="false">B5/B7</f>
        <v>8138.27871804105</v>
      </c>
    </row>
    <row r="9" customFormat="false" ht="15" hidden="false" customHeight="true" outlineLevel="0" collapsed="false">
      <c r="A9" s="100" t="s">
        <v>238</v>
      </c>
      <c r="B9" s="88" t="n">
        <f aca="false">B6/B8</f>
        <v>16.7111504424779</v>
      </c>
    </row>
    <row r="10" customFormat="false" ht="15" hidden="false" customHeight="true" outlineLevel="0" collapsed="false">
      <c r="A10" s="100" t="s">
        <v>239</v>
      </c>
      <c r="B10" s="138" t="n">
        <v>22</v>
      </c>
    </row>
    <row r="12" customFormat="false" ht="19.5" hidden="false" customHeight="true" outlineLevel="0" collapsed="false">
      <c r="A12" s="33" t="s">
        <v>240</v>
      </c>
      <c r="B12" s="33"/>
      <c r="C12" s="33"/>
      <c r="D12" s="33"/>
      <c r="E12" s="33"/>
      <c r="F12" s="33"/>
      <c r="G12" s="33"/>
    </row>
    <row r="13" customFormat="false" ht="15" hidden="false" customHeight="true" outlineLevel="0" collapsed="false">
      <c r="A13" s="100" t="s">
        <v>241</v>
      </c>
      <c r="B13" s="140" t="n">
        <v>1.15</v>
      </c>
    </row>
    <row r="14" customFormat="false" ht="15" hidden="false" customHeight="true" outlineLevel="0" collapsed="false">
      <c r="A14" s="100" t="s">
        <v>242</v>
      </c>
      <c r="B14" s="141" t="n">
        <v>45</v>
      </c>
    </row>
    <row r="15" customFormat="false" ht="15" hidden="false" customHeight="true" outlineLevel="0" collapsed="false">
      <c r="A15" s="100" t="s">
        <v>243</v>
      </c>
      <c r="B15" s="141" t="n">
        <v>6</v>
      </c>
    </row>
    <row r="16" customFormat="false" ht="15" hidden="false" customHeight="true" outlineLevel="0" collapsed="false">
      <c r="A16" s="100" t="s">
        <v>244</v>
      </c>
      <c r="B16" s="142" t="n">
        <v>0.3</v>
      </c>
    </row>
    <row r="17" customFormat="false" ht="15" hidden="false" customHeight="true" outlineLevel="0" collapsed="false">
      <c r="A17" s="100" t="s">
        <v>245</v>
      </c>
      <c r="B17" s="141" t="n">
        <v>1</v>
      </c>
    </row>
    <row r="18" customFormat="false" ht="15" hidden="false" customHeight="true" outlineLevel="0" collapsed="false">
      <c r="A18" s="100" t="s">
        <v>246</v>
      </c>
      <c r="B18" s="141" t="n">
        <v>4</v>
      </c>
    </row>
    <row r="20" customFormat="false" ht="19.5" hidden="false" customHeight="true" outlineLevel="0" collapsed="false">
      <c r="A20" s="33" t="s">
        <v>247</v>
      </c>
      <c r="B20" s="33"/>
      <c r="C20" s="33"/>
      <c r="D20" s="33"/>
      <c r="E20" s="33"/>
      <c r="F20" s="33"/>
      <c r="G20" s="33"/>
    </row>
    <row r="21" customFormat="false" ht="28.5" hidden="false" customHeight="true" outlineLevel="0" collapsed="false">
      <c r="A21" s="48" t="s">
        <v>248</v>
      </c>
      <c r="B21" s="48" t="s">
        <v>249</v>
      </c>
      <c r="C21" s="48" t="s">
        <v>250</v>
      </c>
      <c r="D21" s="48" t="s">
        <v>251</v>
      </c>
      <c r="E21" s="48" t="s">
        <v>252</v>
      </c>
      <c r="F21" s="48" t="s">
        <v>253</v>
      </c>
      <c r="G21" s="48" t="s">
        <v>254</v>
      </c>
    </row>
    <row r="22" customFormat="false" ht="13.5" hidden="false" customHeight="true" outlineLevel="0" collapsed="false">
      <c r="A22" s="143" t="s">
        <v>255</v>
      </c>
      <c r="B22" s="142" t="n">
        <v>0.12</v>
      </c>
      <c r="C22" s="144" t="n">
        <f aca="false">$B$6*B22</f>
        <v>16320</v>
      </c>
      <c r="D22" s="141" t="n">
        <v>480</v>
      </c>
      <c r="E22" s="145" t="n">
        <f aca="false">C22/D22</f>
        <v>34</v>
      </c>
      <c r="F22" s="87" t="n">
        <v>52</v>
      </c>
      <c r="G22" s="88" t="n">
        <f aca="false">E22*F22/60</f>
        <v>29.4666666666667</v>
      </c>
    </row>
    <row r="23" customFormat="false" ht="15" hidden="false" customHeight="true" outlineLevel="0" collapsed="false">
      <c r="A23" s="54" t="s">
        <v>256</v>
      </c>
      <c r="B23" s="146" t="n">
        <v>0.129</v>
      </c>
      <c r="C23" s="56" t="n">
        <f aca="false">$B$6*B23</f>
        <v>17544</v>
      </c>
      <c r="D23" s="147" t="n">
        <v>540</v>
      </c>
      <c r="E23" s="76" t="n">
        <f aca="false">C23/D23</f>
        <v>32.4888888888889</v>
      </c>
      <c r="F23" s="94" t="n">
        <v>90</v>
      </c>
      <c r="G23" s="95" t="n">
        <f aca="false">E23*F23/60</f>
        <v>48.7333333333333</v>
      </c>
    </row>
    <row r="24" customFormat="false" ht="15" hidden="false" customHeight="true" outlineLevel="0" collapsed="false">
      <c r="A24" s="143" t="s">
        <v>257</v>
      </c>
      <c r="B24" s="142" t="n">
        <v>0.029</v>
      </c>
      <c r="C24" s="144" t="n">
        <f aca="false">$B$6*B24</f>
        <v>3944</v>
      </c>
      <c r="D24" s="141" t="n">
        <v>450</v>
      </c>
      <c r="E24" s="145" t="n">
        <f aca="false">C24/D24</f>
        <v>8.76444444444445</v>
      </c>
      <c r="F24" s="87" t="n">
        <v>58</v>
      </c>
      <c r="G24" s="88" t="n">
        <f aca="false">E24*F24/60</f>
        <v>8.4722962962963</v>
      </c>
    </row>
    <row r="25" customFormat="false" ht="13.5" hidden="false" customHeight="true" outlineLevel="0" collapsed="false">
      <c r="A25" s="54" t="s">
        <v>258</v>
      </c>
      <c r="B25" s="146" t="n">
        <v>0.448</v>
      </c>
      <c r="C25" s="56" t="n">
        <f aca="false">$B$6*B25</f>
        <v>60928</v>
      </c>
      <c r="D25" s="147" t="n">
        <v>1356</v>
      </c>
      <c r="E25" s="76" t="n">
        <f aca="false">C25/D25</f>
        <v>44.9321533923304</v>
      </c>
      <c r="F25" s="94" t="n">
        <v>66</v>
      </c>
      <c r="G25" s="95" t="n">
        <f aca="false">E25*F25/60</f>
        <v>49.4253687315634</v>
      </c>
    </row>
    <row r="26" customFormat="false" ht="15" hidden="false" customHeight="true" outlineLevel="0" collapsed="false">
      <c r="A26" s="143" t="s">
        <v>259</v>
      </c>
      <c r="B26" s="142" t="n">
        <v>0.0299</v>
      </c>
      <c r="C26" s="144" t="n">
        <f aca="false">$B$6*B26</f>
        <v>4066.4</v>
      </c>
      <c r="D26" s="141" t="n">
        <v>425</v>
      </c>
      <c r="E26" s="145" t="n">
        <f aca="false">C26/D26</f>
        <v>9.568</v>
      </c>
      <c r="F26" s="87" t="n">
        <v>64</v>
      </c>
      <c r="G26" s="88" t="n">
        <f aca="false">E26*F26/60</f>
        <v>10.2058666666667</v>
      </c>
    </row>
    <row r="27" customFormat="false" ht="15" hidden="false" customHeight="true" outlineLevel="0" collapsed="false">
      <c r="A27" s="54" t="s">
        <v>260</v>
      </c>
      <c r="B27" s="146" t="n">
        <v>0.1754</v>
      </c>
      <c r="C27" s="56" t="n">
        <f aca="false">$B$6*B27</f>
        <v>23854.4</v>
      </c>
      <c r="D27" s="147" t="n">
        <v>1154</v>
      </c>
      <c r="E27" s="76" t="n">
        <f aca="false">C27/D27</f>
        <v>20.6710571923744</v>
      </c>
      <c r="F27" s="94" t="n">
        <v>67</v>
      </c>
      <c r="G27" s="95" t="n">
        <f aca="false">E27*F27/60</f>
        <v>23.0826805314847</v>
      </c>
    </row>
    <row r="28" customFormat="false" ht="15" hidden="false" customHeight="true" outlineLevel="0" collapsed="false">
      <c r="A28" s="143" t="s">
        <v>261</v>
      </c>
      <c r="B28" s="142" t="n">
        <v>0.04</v>
      </c>
      <c r="C28" s="144" t="n">
        <f aca="false">$B$6*B28</f>
        <v>5440</v>
      </c>
      <c r="D28" s="141" t="n">
        <v>1085</v>
      </c>
      <c r="E28" s="145" t="n">
        <f aca="false">C28/D28</f>
        <v>5.01382488479263</v>
      </c>
      <c r="F28" s="87" t="n">
        <v>45</v>
      </c>
      <c r="G28" s="88" t="n">
        <f aca="false">E28*F28/60</f>
        <v>3.76036866359447</v>
      </c>
      <c r="H28" s="1" t="s">
        <v>262</v>
      </c>
    </row>
    <row r="29" customFormat="false" ht="15" hidden="false" customHeight="true" outlineLevel="0" collapsed="false">
      <c r="A29" s="54" t="s">
        <v>263</v>
      </c>
      <c r="B29" s="146" t="n">
        <v>0.029</v>
      </c>
      <c r="C29" s="56" t="n">
        <f aca="false">$B$6*B29</f>
        <v>3944</v>
      </c>
      <c r="D29" s="147" t="n">
        <v>410</v>
      </c>
      <c r="E29" s="76" t="n">
        <f aca="false">C29/D29</f>
        <v>9.61951219512195</v>
      </c>
      <c r="F29" s="94" t="n">
        <v>60</v>
      </c>
      <c r="G29" s="95" t="n">
        <f aca="false">E29*F29/60</f>
        <v>9.61951219512195</v>
      </c>
      <c r="H29" s="1" t="s">
        <v>264</v>
      </c>
    </row>
    <row r="30" customFormat="false" ht="15" hidden="false" customHeight="true" outlineLevel="0" collapsed="false">
      <c r="A30" s="67" t="s">
        <v>71</v>
      </c>
      <c r="B30" s="70" t="n">
        <f aca="false">SUM(B22:B29)</f>
        <v>1.0003</v>
      </c>
      <c r="C30" s="148" t="n">
        <f aca="false">SUM(C22:C29)</f>
        <v>136040.8</v>
      </c>
      <c r="D30" s="71"/>
      <c r="E30" s="68" t="n">
        <f aca="false">SUM(E22:E29)</f>
        <v>165.057880997953</v>
      </c>
      <c r="F30" s="71"/>
      <c r="G30" s="68" t="n">
        <f aca="false">SUM(G22:G29)</f>
        <v>182.766093084728</v>
      </c>
    </row>
    <row r="31" customFormat="false" ht="15" hidden="false" customHeight="true" outlineLevel="0" collapsed="false">
      <c r="A31" s="67"/>
      <c r="B31" s="70"/>
      <c r="C31" s="148"/>
      <c r="D31" s="71"/>
      <c r="E31" s="68"/>
      <c r="F31" s="71"/>
      <c r="G31" s="68"/>
    </row>
    <row r="33" customFormat="false" ht="19.5" hidden="false" customHeight="true" outlineLevel="0" collapsed="false">
      <c r="A33" s="33" t="s">
        <v>265</v>
      </c>
      <c r="B33" s="33"/>
      <c r="C33" s="33"/>
      <c r="D33" s="33"/>
      <c r="E33" s="33"/>
      <c r="F33" s="33"/>
      <c r="G33" s="33"/>
    </row>
    <row r="34" customFormat="false" ht="13.5" hidden="false" customHeight="true" outlineLevel="0" collapsed="false">
      <c r="A34" s="100" t="s">
        <v>266</v>
      </c>
      <c r="B34" s="141" t="n">
        <v>1</v>
      </c>
    </row>
    <row r="36" customFormat="false" ht="19.5" hidden="false" customHeight="true" outlineLevel="0" collapsed="false">
      <c r="A36" s="33" t="s">
        <v>267</v>
      </c>
      <c r="B36" s="33"/>
      <c r="C36" s="33"/>
      <c r="D36" s="33"/>
      <c r="E36" s="33"/>
      <c r="F36" s="33"/>
      <c r="G36" s="33"/>
    </row>
    <row r="37" customFormat="false" ht="15" hidden="false" customHeight="true" outlineLevel="0" collapsed="false">
      <c r="A37" s="48" t="s">
        <v>268</v>
      </c>
      <c r="B37" s="48" t="s">
        <v>96</v>
      </c>
    </row>
    <row r="38" customFormat="false" ht="15" hidden="false" customHeight="true" outlineLevel="0" collapsed="false">
      <c r="A38" s="100" t="s">
        <v>269</v>
      </c>
      <c r="B38" s="149" t="n">
        <v>1.5</v>
      </c>
    </row>
    <row r="39" customFormat="false" ht="15" hidden="false" customHeight="true" outlineLevel="0" collapsed="false">
      <c r="A39" s="121" t="s">
        <v>270</v>
      </c>
      <c r="B39" s="150" t="n">
        <v>0.5</v>
      </c>
    </row>
    <row r="40" customFormat="false" ht="15" hidden="false" customHeight="true" outlineLevel="0" collapsed="false">
      <c r="A40" s="100" t="s">
        <v>271</v>
      </c>
      <c r="B40" s="149" t="n">
        <v>1.5</v>
      </c>
    </row>
    <row r="41" customFormat="false" ht="15" hidden="false" customHeight="true" outlineLevel="0" collapsed="false">
      <c r="A41" s="121" t="s">
        <v>272</v>
      </c>
      <c r="B41" s="150" t="n">
        <v>4</v>
      </c>
    </row>
    <row r="42" customFormat="false" ht="15" hidden="false" customHeight="true" outlineLevel="0" collapsed="false">
      <c r="A42" s="100" t="s">
        <v>273</v>
      </c>
      <c r="B42" s="149" t="n">
        <v>1.5</v>
      </c>
    </row>
    <row r="43" customFormat="false" ht="15" hidden="false" customHeight="true" outlineLevel="0" collapsed="false">
      <c r="A43" s="100" t="s">
        <v>274</v>
      </c>
      <c r="B43" s="149" t="n">
        <v>2.5</v>
      </c>
    </row>
    <row r="44" customFormat="false" ht="15" hidden="false" customHeight="true" outlineLevel="0" collapsed="false">
      <c r="A44" s="67" t="s">
        <v>71</v>
      </c>
      <c r="B44" s="68" t="n">
        <f aca="false">SUM(B38:B43)</f>
        <v>11.5</v>
      </c>
    </row>
    <row r="46" customFormat="false" ht="19.5" hidden="false" customHeight="true" outlineLevel="0" collapsed="false">
      <c r="A46" s="33" t="s">
        <v>275</v>
      </c>
      <c r="B46" s="33"/>
      <c r="C46" s="33"/>
      <c r="D46" s="33"/>
      <c r="E46" s="33"/>
      <c r="F46" s="33"/>
      <c r="G46" s="33"/>
    </row>
    <row r="47" customFormat="false" ht="15" hidden="false" customHeight="true" outlineLevel="0" collapsed="false">
      <c r="A47" s="48" t="s">
        <v>276</v>
      </c>
      <c r="B47" s="48" t="s">
        <v>277</v>
      </c>
      <c r="C47" s="48" t="s">
        <v>66</v>
      </c>
    </row>
    <row r="48" customFormat="false" ht="15" hidden="false" customHeight="true" outlineLevel="0" collapsed="false">
      <c r="A48" s="100" t="s">
        <v>278</v>
      </c>
      <c r="B48" s="149" t="n">
        <v>10</v>
      </c>
      <c r="C48" s="151" t="s">
        <v>8</v>
      </c>
    </row>
    <row r="49" customFormat="false" ht="15" hidden="false" customHeight="true" outlineLevel="0" collapsed="false">
      <c r="A49" s="121" t="s">
        <v>279</v>
      </c>
      <c r="B49" s="150" t="n">
        <v>8</v>
      </c>
      <c r="C49" s="152" t="s">
        <v>11</v>
      </c>
    </row>
    <row r="50" customFormat="false" ht="13.5" hidden="false" customHeight="true" outlineLevel="0" collapsed="false">
      <c r="A50" s="121" t="s">
        <v>280</v>
      </c>
      <c r="B50" s="150" t="n">
        <v>3</v>
      </c>
      <c r="C50" s="152" t="s">
        <v>10</v>
      </c>
    </row>
    <row r="51" customFormat="false" ht="15" hidden="false" customHeight="true" outlineLevel="0" collapsed="false">
      <c r="A51" s="100" t="s">
        <v>281</v>
      </c>
      <c r="B51" s="149" t="n">
        <v>1</v>
      </c>
      <c r="C51" s="151" t="s">
        <v>8</v>
      </c>
    </row>
    <row r="52" customFormat="false" ht="13.5" hidden="false" customHeight="true" outlineLevel="0" collapsed="false"/>
    <row r="53" customFormat="false" ht="19.5" hidden="false" customHeight="true" outlineLevel="0" collapsed="false">
      <c r="A53" s="33" t="s">
        <v>282</v>
      </c>
      <c r="B53" s="33"/>
      <c r="C53" s="33"/>
      <c r="D53" s="33"/>
      <c r="E53" s="33"/>
      <c r="F53" s="33"/>
      <c r="G53" s="33"/>
    </row>
    <row r="54" customFormat="false" ht="15" hidden="false" customHeight="true" outlineLevel="0" collapsed="false">
      <c r="A54" s="100" t="s">
        <v>283</v>
      </c>
      <c r="B54" s="141" t="n">
        <v>280</v>
      </c>
    </row>
    <row r="55" customFormat="false" ht="15" hidden="false" customHeight="true" outlineLevel="0" collapsed="false">
      <c r="A55" s="100" t="s">
        <v>284</v>
      </c>
      <c r="B55" s="141" t="n">
        <v>300</v>
      </c>
    </row>
    <row r="56" customFormat="false" ht="15" hidden="false" customHeight="true" outlineLevel="0" collapsed="false">
      <c r="A56" s="100" t="s">
        <v>285</v>
      </c>
      <c r="B56" s="141" t="n">
        <v>340</v>
      </c>
    </row>
    <row r="57" customFormat="false" ht="15" hidden="false" customHeight="true" outlineLevel="0" collapsed="false">
      <c r="A57" s="100" t="s">
        <v>286</v>
      </c>
      <c r="B57" s="141" t="n">
        <v>420</v>
      </c>
    </row>
    <row r="58" customFormat="false" ht="15" hidden="false" customHeight="true" outlineLevel="0" collapsed="false">
      <c r="A58" s="100" t="s">
        <v>287</v>
      </c>
      <c r="B58" s="142" t="n">
        <v>0.07</v>
      </c>
    </row>
    <row r="59" customFormat="false" ht="15" hidden="false" customHeight="true" outlineLevel="0" collapsed="false">
      <c r="A59" s="38" t="s">
        <v>288</v>
      </c>
    </row>
    <row r="61" customFormat="false" ht="19.5" hidden="false" customHeight="true" outlineLevel="0" collapsed="false">
      <c r="A61" s="33" t="s">
        <v>289</v>
      </c>
      <c r="B61" s="33"/>
      <c r="C61" s="33"/>
      <c r="D61" s="33"/>
      <c r="E61" s="33"/>
      <c r="F61" s="33"/>
      <c r="G61" s="33"/>
      <c r="H61" s="33"/>
    </row>
    <row r="62" customFormat="false" ht="15" hidden="false" customHeight="true" outlineLevel="0" collapsed="false">
      <c r="A62" s="48" t="s">
        <v>290</v>
      </c>
      <c r="B62" s="48" t="s">
        <v>8</v>
      </c>
      <c r="C62" s="48" t="s">
        <v>9</v>
      </c>
      <c r="D62" s="48" t="s">
        <v>10</v>
      </c>
      <c r="E62" s="48" t="s">
        <v>11</v>
      </c>
      <c r="F62" s="48" t="s">
        <v>12</v>
      </c>
      <c r="G62" s="48" t="s">
        <v>13</v>
      </c>
      <c r="H62" s="48" t="s">
        <v>14</v>
      </c>
    </row>
    <row r="63" customFormat="false" ht="15" hidden="false" customHeight="true" outlineLevel="0" collapsed="false">
      <c r="A63" s="100" t="s">
        <v>291</v>
      </c>
      <c r="B63" s="153" t="n">
        <v>0.229166666666667</v>
      </c>
      <c r="C63" s="153" t="n">
        <v>0.25</v>
      </c>
      <c r="D63" s="153" t="n">
        <v>0.25</v>
      </c>
      <c r="E63" s="153" t="n">
        <v>0.229166666666667</v>
      </c>
      <c r="F63" s="153" t="n">
        <v>0.25</v>
      </c>
      <c r="G63" s="153" t="n">
        <v>0.229166666666667</v>
      </c>
      <c r="H63" s="153" t="n">
        <v>0.25</v>
      </c>
    </row>
    <row r="64" customFormat="false" ht="15" hidden="false" customHeight="true" outlineLevel="0" collapsed="false">
      <c r="A64" s="100" t="s">
        <v>292</v>
      </c>
      <c r="B64" s="153" t="n">
        <v>0.885416666666667</v>
      </c>
      <c r="C64" s="153" t="n">
        <v>0.885416666666667</v>
      </c>
      <c r="D64" s="153" t="n">
        <v>0.885416666666667</v>
      </c>
      <c r="E64" s="153" t="n">
        <v>0.885416666666667</v>
      </c>
      <c r="F64" s="153" t="n">
        <v>0.885416666666667</v>
      </c>
      <c r="G64" s="153" t="n">
        <v>0.885416666666667</v>
      </c>
      <c r="H64" s="153" t="n">
        <v>0.885416666666667</v>
      </c>
    </row>
    <row r="65" customFormat="false" ht="15" hidden="false" customHeight="true" outlineLevel="0" collapsed="false">
      <c r="A65" s="100" t="s">
        <v>293</v>
      </c>
      <c r="B65" s="154" t="n">
        <v>11</v>
      </c>
    </row>
    <row r="66" customFormat="false" ht="15" hidden="false" customHeight="true" outlineLevel="0" collapsed="false">
      <c r="A66" s="100" t="s">
        <v>294</v>
      </c>
      <c r="B66" s="154" t="n">
        <v>2</v>
      </c>
    </row>
    <row r="67" customFormat="false" ht="15" hidden="false" customHeight="true" outlineLevel="0" collapsed="false">
      <c r="A67" s="100" t="s">
        <v>295</v>
      </c>
      <c r="B67" s="87" t="n">
        <v>2</v>
      </c>
    </row>
    <row r="68" customFormat="false" ht="15" hidden="false" customHeight="true" outlineLevel="0" collapsed="false">
      <c r="A68" s="100" t="s">
        <v>296</v>
      </c>
      <c r="B68" s="87" t="n">
        <v>2</v>
      </c>
    </row>
    <row r="69" customFormat="false" ht="15" hidden="false" customHeight="true" outlineLevel="0" collapsed="false">
      <c r="A69" s="38" t="s">
        <v>297</v>
      </c>
    </row>
  </sheetData>
  <mergeCells count="9">
    <mergeCell ref="A1:G1"/>
    <mergeCell ref="A4:G4"/>
    <mergeCell ref="A12:G12"/>
    <mergeCell ref="A20:G20"/>
    <mergeCell ref="A33:G33"/>
    <mergeCell ref="A36:G36"/>
    <mergeCell ref="A46:G46"/>
    <mergeCell ref="A53:G53"/>
    <mergeCell ref="A61:H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true"/>
  </sheetPr>
  <dimension ref="A1:I5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X113" activeCellId="0" sqref="X113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7.99"/>
    <col collapsed="false" customWidth="true" hidden="false" outlineLevel="0" max="9" min="2" style="1" width="10.51"/>
    <col collapsed="false" customWidth="true" hidden="false" outlineLevel="0" max="1025" min="10" style="1" width="8.67"/>
  </cols>
  <sheetData>
    <row r="1" customFormat="false" ht="25.5" hidden="false" customHeight="true" outlineLevel="0" collapsed="false">
      <c r="A1" s="82" t="s">
        <v>298</v>
      </c>
      <c r="B1" s="82"/>
      <c r="C1" s="82"/>
      <c r="D1" s="82"/>
      <c r="E1" s="82"/>
      <c r="F1" s="82"/>
      <c r="G1" s="82"/>
      <c r="H1" s="82"/>
      <c r="I1" s="82"/>
    </row>
    <row r="2" customFormat="false" ht="15" hidden="false" customHeight="true" outlineLevel="0" collapsed="false">
      <c r="A2" s="38" t="s">
        <v>299</v>
      </c>
    </row>
    <row r="4" customFormat="false" ht="19.5" hidden="false" customHeight="true" outlineLevel="0" collapsed="false">
      <c r="A4" s="33" t="s">
        <v>300</v>
      </c>
      <c r="B4" s="33"/>
      <c r="C4" s="33"/>
      <c r="D4" s="33"/>
      <c r="E4" s="33"/>
      <c r="F4" s="33"/>
      <c r="G4" s="33"/>
      <c r="H4" s="33"/>
      <c r="I4" s="33"/>
    </row>
    <row r="5" customFormat="false" ht="15" hidden="false" customHeight="true" outlineLevel="0" collapsed="false">
      <c r="A5" s="48" t="s">
        <v>147</v>
      </c>
      <c r="B5" s="48" t="s">
        <v>8</v>
      </c>
      <c r="C5" s="48" t="s">
        <v>9</v>
      </c>
      <c r="D5" s="48" t="s">
        <v>10</v>
      </c>
      <c r="E5" s="48" t="s">
        <v>11</v>
      </c>
      <c r="F5" s="48" t="s">
        <v>12</v>
      </c>
      <c r="G5" s="48" t="s">
        <v>13</v>
      </c>
      <c r="H5" s="48" t="s">
        <v>14</v>
      </c>
      <c r="I5" s="48" t="s">
        <v>142</v>
      </c>
    </row>
    <row r="6" customFormat="false" ht="15" hidden="false" customHeight="true" outlineLevel="0" collapsed="false">
      <c r="A6" s="100" t="s">
        <v>301</v>
      </c>
      <c r="B6" s="142" t="n">
        <v>0.137</v>
      </c>
      <c r="C6" s="142" t="n">
        <v>0.126</v>
      </c>
      <c r="D6" s="142" t="n">
        <v>0.124</v>
      </c>
      <c r="E6" s="142" t="n">
        <v>0.135</v>
      </c>
      <c r="F6" s="142" t="n">
        <v>0.15</v>
      </c>
      <c r="G6" s="142" t="n">
        <v>0.198</v>
      </c>
      <c r="H6" s="142" t="n">
        <v>0.13</v>
      </c>
      <c r="I6" s="155" t="n">
        <f aca="false">SUM(B6:H6)</f>
        <v>1</v>
      </c>
    </row>
    <row r="7" customFormat="false" ht="15" hidden="false" customHeight="true" outlineLevel="0" collapsed="false">
      <c r="A7" s="54" t="s">
        <v>302</v>
      </c>
      <c r="B7" s="56" t="n">
        <f aca="false">Parametri!$B$6*B6</f>
        <v>18632</v>
      </c>
      <c r="C7" s="56" t="n">
        <f aca="false">Parametri!$B$6*C6</f>
        <v>17136</v>
      </c>
      <c r="D7" s="56" t="n">
        <f aca="false">Parametri!$B$6*D6</f>
        <v>16864</v>
      </c>
      <c r="E7" s="56" t="n">
        <f aca="false">Parametri!$B$6*E6</f>
        <v>18360</v>
      </c>
      <c r="F7" s="56" t="n">
        <f aca="false">Parametri!$B$6*F6</f>
        <v>20400</v>
      </c>
      <c r="G7" s="56" t="n">
        <f aca="false">Parametri!$B$6*G6</f>
        <v>26928</v>
      </c>
      <c r="H7" s="56" t="n">
        <f aca="false">Parametri!$B$6*H6</f>
        <v>17680</v>
      </c>
      <c r="I7" s="55" t="n">
        <f aca="false">SUM(B7:H7)</f>
        <v>136000</v>
      </c>
    </row>
    <row r="8" customFormat="false" ht="15" hidden="false" customHeight="true" outlineLevel="0" collapsed="false">
      <c r="A8" s="143" t="s">
        <v>303</v>
      </c>
      <c r="B8" s="144" t="n">
        <f aca="false">Parametri!$B$8*B6</f>
        <v>1114.94418437162</v>
      </c>
      <c r="C8" s="144" t="n">
        <f aca="false">Parametri!$B$8*C6</f>
        <v>1025.42311847317</v>
      </c>
      <c r="D8" s="144" t="n">
        <f aca="false">Parametri!$B$8*D6</f>
        <v>1009.14656103709</v>
      </c>
      <c r="E8" s="144" t="n">
        <f aca="false">Parametri!$B$8*E6</f>
        <v>1098.66762693554</v>
      </c>
      <c r="F8" s="144" t="n">
        <f aca="false">Parametri!$B$8*F6</f>
        <v>1220.74180770616</v>
      </c>
      <c r="G8" s="144" t="n">
        <f aca="false">Parametri!$B$8*G6</f>
        <v>1611.37918617213</v>
      </c>
      <c r="H8" s="144" t="n">
        <f aca="false">Parametri!$B$8*H6</f>
        <v>1057.97623334534</v>
      </c>
      <c r="I8" s="139" t="n">
        <f aca="false">SUM(B8:H8)</f>
        <v>8138.27871804105</v>
      </c>
    </row>
    <row r="9" customFormat="false" ht="15" hidden="false" customHeight="true" outlineLevel="0" collapsed="false">
      <c r="A9" s="54" t="s">
        <v>304</v>
      </c>
      <c r="B9" s="56" t="n">
        <f aca="false">Parametri!$B$5*B6</f>
        <v>30962</v>
      </c>
      <c r="C9" s="56" t="n">
        <f aca="false">Parametri!$B$5*C6</f>
        <v>28476</v>
      </c>
      <c r="D9" s="56" t="n">
        <f aca="false">Parametri!$B$5*D6</f>
        <v>28024</v>
      </c>
      <c r="E9" s="56" t="n">
        <f aca="false">Parametri!$B$5*E6</f>
        <v>30510</v>
      </c>
      <c r="F9" s="56" t="n">
        <f aca="false">Parametri!$B$5*F6</f>
        <v>33900</v>
      </c>
      <c r="G9" s="56" t="n">
        <f aca="false">Parametri!$B$5*G6</f>
        <v>44748</v>
      </c>
      <c r="H9" s="56" t="n">
        <f aca="false">Parametri!$B$5*H6</f>
        <v>29380</v>
      </c>
      <c r="I9" s="55" t="n">
        <f aca="false">SUM(B9:H9)</f>
        <v>226000</v>
      </c>
    </row>
    <row r="10" customFormat="false" ht="15" hidden="false" customHeight="true" outlineLevel="0" collapsed="false">
      <c r="A10" s="38" t="s">
        <v>305</v>
      </c>
      <c r="B10" s="156" t="str">
        <f aca="false">IF(ABS(I6-1)&lt;0.0001,"OK","ERRORE: 100%")</f>
        <v>OK</v>
      </c>
    </row>
    <row r="12" customFormat="false" ht="19.5" hidden="false" customHeight="true" outlineLevel="0" collapsed="false">
      <c r="A12" s="33" t="s">
        <v>306</v>
      </c>
      <c r="B12" s="33"/>
      <c r="C12" s="33"/>
      <c r="D12" s="33"/>
      <c r="E12" s="33"/>
      <c r="F12" s="33"/>
      <c r="G12" s="33"/>
      <c r="H12" s="33"/>
      <c r="I12" s="33"/>
    </row>
    <row r="13" customFormat="false" ht="15" hidden="false" customHeight="true" outlineLevel="0" collapsed="false">
      <c r="A13" s="48" t="s">
        <v>248</v>
      </c>
      <c r="B13" s="48" t="s">
        <v>8</v>
      </c>
      <c r="C13" s="48" t="s">
        <v>9</v>
      </c>
      <c r="D13" s="48" t="s">
        <v>10</v>
      </c>
      <c r="E13" s="48" t="s">
        <v>11</v>
      </c>
      <c r="F13" s="48" t="s">
        <v>12</v>
      </c>
      <c r="G13" s="48" t="s">
        <v>13</v>
      </c>
      <c r="H13" s="48" t="s">
        <v>14</v>
      </c>
      <c r="I13" s="48" t="s">
        <v>142</v>
      </c>
    </row>
    <row r="14" customFormat="false" ht="15" hidden="false" customHeight="true" outlineLevel="0" collapsed="false">
      <c r="A14" s="157" t="str">
        <f aca="false">Parametri!A22</f>
        <v>FV</v>
      </c>
      <c r="B14" s="144" t="n">
        <f aca="false">Parametri!$B$22*B$7</f>
        <v>2235.84</v>
      </c>
      <c r="C14" s="144" t="n">
        <f aca="false">Parametri!$B$22*C$7</f>
        <v>2056.32</v>
      </c>
      <c r="D14" s="144" t="n">
        <f aca="false">Parametri!$B$22*D$7</f>
        <v>2023.68</v>
      </c>
      <c r="E14" s="144" t="n">
        <f aca="false">Parametri!$B$22*E$7</f>
        <v>2203.2</v>
      </c>
      <c r="F14" s="144" t="n">
        <f aca="false">Parametri!$B$22*F$7</f>
        <v>2448</v>
      </c>
      <c r="G14" s="144" t="n">
        <f aca="false">Parametri!$B$22*G$7</f>
        <v>3231.36</v>
      </c>
      <c r="H14" s="144" t="n">
        <f aca="false">Parametri!$B$22*H$7</f>
        <v>2121.6</v>
      </c>
      <c r="I14" s="139" t="n">
        <f aca="false">SUM(B14:H14)</f>
        <v>16320</v>
      </c>
    </row>
    <row r="15" customFormat="false" ht="15" hidden="false" customHeight="true" outlineLevel="0" collapsed="false">
      <c r="A15" s="158" t="str">
        <f aca="false">Parametri!A23</f>
        <v>BAKE</v>
      </c>
      <c r="B15" s="56" t="n">
        <f aca="false">Parametri!$B$23*B$7</f>
        <v>2403.528</v>
      </c>
      <c r="C15" s="56" t="n">
        <f aca="false">Parametri!$B$23*C$7</f>
        <v>2210.544</v>
      </c>
      <c r="D15" s="56" t="n">
        <f aca="false">Parametri!$B$23*D$7</f>
        <v>2175.456</v>
      </c>
      <c r="E15" s="56" t="n">
        <f aca="false">Parametri!$B$23*E$7</f>
        <v>2368.44</v>
      </c>
      <c r="F15" s="56" t="n">
        <f aca="false">Parametri!$B$23*F$7</f>
        <v>2631.6</v>
      </c>
      <c r="G15" s="56" t="n">
        <f aca="false">Parametri!$B$23*G$7</f>
        <v>3473.712</v>
      </c>
      <c r="H15" s="56" t="n">
        <f aca="false">Parametri!$B$23*H$7</f>
        <v>2280.72</v>
      </c>
      <c r="I15" s="55" t="n">
        <f aca="false">SUM(B15:H15)</f>
        <v>17544</v>
      </c>
    </row>
    <row r="16" customFormat="false" ht="15" hidden="false" customHeight="true" outlineLevel="0" collapsed="false">
      <c r="A16" s="157" t="str">
        <f aca="false">Parametri!A24</f>
        <v>CARNE</v>
      </c>
      <c r="B16" s="144" t="n">
        <f aca="false">Parametri!$B$24*B$7</f>
        <v>540.328</v>
      </c>
      <c r="C16" s="144" t="n">
        <f aca="false">Parametri!$B$24*C$7</f>
        <v>496.944</v>
      </c>
      <c r="D16" s="144" t="n">
        <f aca="false">Parametri!$B$24*D$7</f>
        <v>489.056</v>
      </c>
      <c r="E16" s="144" t="n">
        <f aca="false">Parametri!$B$24*E$7</f>
        <v>532.44</v>
      </c>
      <c r="F16" s="144" t="n">
        <f aca="false">Parametri!$B$24*F$7</f>
        <v>591.6</v>
      </c>
      <c r="G16" s="144" t="n">
        <f aca="false">Parametri!$B$24*G$7</f>
        <v>780.912</v>
      </c>
      <c r="H16" s="144" t="n">
        <f aca="false">Parametri!$B$24*H$7</f>
        <v>512.72</v>
      </c>
      <c r="I16" s="139" t="n">
        <f aca="false">SUM(B16:H16)</f>
        <v>3944</v>
      </c>
    </row>
    <row r="17" customFormat="false" ht="15" hidden="false" customHeight="true" outlineLevel="0" collapsed="false">
      <c r="A17" s="158" t="str">
        <f aca="false">Parametri!A25</f>
        <v>SECCHI</v>
      </c>
      <c r="B17" s="56" t="n">
        <f aca="false">Parametri!$B$25*B$7</f>
        <v>8347.136</v>
      </c>
      <c r="C17" s="56" t="n">
        <f aca="false">Parametri!$B$25*C$7</f>
        <v>7676.928</v>
      </c>
      <c r="D17" s="56" t="n">
        <f aca="false">Parametri!$B$25*D$7</f>
        <v>7555.072</v>
      </c>
      <c r="E17" s="56" t="n">
        <f aca="false">Parametri!$B$25*E$7</f>
        <v>8225.28</v>
      </c>
      <c r="F17" s="56" t="n">
        <f aca="false">Parametri!$B$25*F$7</f>
        <v>9139.2</v>
      </c>
      <c r="G17" s="56" t="n">
        <f aca="false">Parametri!$B$25*G$7</f>
        <v>12063.744</v>
      </c>
      <c r="H17" s="56" t="n">
        <f aca="false">Parametri!$B$25*H$7</f>
        <v>7920.64</v>
      </c>
      <c r="I17" s="55" t="n">
        <f aca="false">SUM(B17:H17)</f>
        <v>60928</v>
      </c>
    </row>
    <row r="18" customFormat="false" ht="15" hidden="false" customHeight="true" outlineLevel="0" collapsed="false">
      <c r="A18" s="157" t="str">
        <f aca="false">Parametri!A26</f>
        <v>SURGELATI</v>
      </c>
      <c r="B18" s="144" t="n">
        <f aca="false">Parametri!$B$26*B$7</f>
        <v>557.0968</v>
      </c>
      <c r="C18" s="144" t="n">
        <f aca="false">Parametri!$B$26*C$7</f>
        <v>512.3664</v>
      </c>
      <c r="D18" s="144" t="n">
        <f aca="false">Parametri!$B$26*D$7</f>
        <v>504.2336</v>
      </c>
      <c r="E18" s="144" t="n">
        <f aca="false">Parametri!$B$26*E$7</f>
        <v>548.964</v>
      </c>
      <c r="F18" s="144" t="n">
        <f aca="false">Parametri!$B$26*F$7</f>
        <v>609.96</v>
      </c>
      <c r="G18" s="144" t="n">
        <f aca="false">Parametri!$B$26*G$7</f>
        <v>805.1472</v>
      </c>
      <c r="H18" s="144" t="n">
        <f aca="false">Parametri!$B$26*H$7</f>
        <v>528.632</v>
      </c>
      <c r="I18" s="139" t="n">
        <f aca="false">SUM(B18:H18)</f>
        <v>4066.4</v>
      </c>
    </row>
    <row r="19" customFormat="false" ht="15" hidden="false" customHeight="true" outlineLevel="0" collapsed="false">
      <c r="A19" s="158" t="str">
        <f aca="false">Parametri!A27</f>
        <v>FRESCHI</v>
      </c>
      <c r="B19" s="56" t="n">
        <f aca="false">Parametri!$B$27*B$7</f>
        <v>3268.0528</v>
      </c>
      <c r="C19" s="56" t="n">
        <f aca="false">Parametri!$B$27*C$7</f>
        <v>3005.6544</v>
      </c>
      <c r="D19" s="56" t="n">
        <f aca="false">Parametri!$B$27*D$7</f>
        <v>2957.9456</v>
      </c>
      <c r="E19" s="56" t="n">
        <f aca="false">Parametri!$B$27*E$7</f>
        <v>3220.344</v>
      </c>
      <c r="F19" s="56" t="n">
        <f aca="false">Parametri!$B$27*F$7</f>
        <v>3578.16</v>
      </c>
      <c r="G19" s="56" t="n">
        <f aca="false">Parametri!$B$27*G$7</f>
        <v>4723.1712</v>
      </c>
      <c r="H19" s="56" t="n">
        <f aca="false">Parametri!$B$27*H$7</f>
        <v>3101.072</v>
      </c>
      <c r="I19" s="55" t="n">
        <f aca="false">SUM(B19:H19)</f>
        <v>23854.4</v>
      </c>
    </row>
    <row r="20" customFormat="false" ht="15" hidden="false" customHeight="true" outlineLevel="0" collapsed="false">
      <c r="A20" s="157" t="str">
        <f aca="false">Parametri!A28</f>
        <v>PROMO FOOD</v>
      </c>
      <c r="B20" s="144" t="n">
        <f aca="false">Parametri!$B$28*B$7</f>
        <v>745.28</v>
      </c>
      <c r="C20" s="144" t="n">
        <f aca="false">Parametri!$B$28*C$7</f>
        <v>685.44</v>
      </c>
      <c r="D20" s="144" t="n">
        <f aca="false">Parametri!$B$28*D$7</f>
        <v>674.56</v>
      </c>
      <c r="E20" s="144" t="n">
        <f aca="false">Parametri!$B$28*E$7</f>
        <v>734.4</v>
      </c>
      <c r="F20" s="144" t="n">
        <f aca="false">Parametri!$B$28*F$7</f>
        <v>816</v>
      </c>
      <c r="G20" s="144" t="n">
        <f aca="false">Parametri!$B$28*G$7</f>
        <v>1077.12</v>
      </c>
      <c r="H20" s="144" t="n">
        <f aca="false">Parametri!$B$28*H$7</f>
        <v>707.2</v>
      </c>
      <c r="I20" s="139" t="n">
        <f aca="false">SUM(B20:H20)</f>
        <v>5440</v>
      </c>
    </row>
    <row r="21" customFormat="false" ht="15" hidden="false" customHeight="true" outlineLevel="0" collapsed="false">
      <c r="A21" s="158" t="str">
        <f aca="false">Parametri!A29</f>
        <v>PROMO NF</v>
      </c>
      <c r="B21" s="56" t="n">
        <f aca="false">Parametri!$B$29*B$7</f>
        <v>540.328</v>
      </c>
      <c r="C21" s="56" t="n">
        <f aca="false">Parametri!$B$29*C$7</f>
        <v>496.944</v>
      </c>
      <c r="D21" s="56" t="n">
        <f aca="false">Parametri!$B$29*D$7</f>
        <v>489.056</v>
      </c>
      <c r="E21" s="56" t="n">
        <f aca="false">Parametri!$B$29*E$7</f>
        <v>532.44</v>
      </c>
      <c r="F21" s="56" t="n">
        <f aca="false">Parametri!$B$29*F$7</f>
        <v>591.6</v>
      </c>
      <c r="G21" s="56" t="n">
        <f aca="false">Parametri!$B$29*G$7</f>
        <v>780.912</v>
      </c>
      <c r="H21" s="56" t="n">
        <f aca="false">Parametri!$B$29*H$7</f>
        <v>512.72</v>
      </c>
      <c r="I21" s="55" t="n">
        <f aca="false">SUM(B21:H21)</f>
        <v>3944</v>
      </c>
    </row>
    <row r="22" customFormat="false" ht="15" hidden="false" customHeight="true" outlineLevel="0" collapsed="false">
      <c r="A22" s="67" t="s">
        <v>307</v>
      </c>
      <c r="B22" s="148" t="n">
        <f aca="false">SUM(B14:B21)</f>
        <v>18637.5896</v>
      </c>
      <c r="C22" s="148" t="n">
        <f aca="false">SUM(C14:C21)</f>
        <v>17141.1408</v>
      </c>
      <c r="D22" s="148" t="n">
        <f aca="false">SUM(D14:D21)</f>
        <v>16869.0592</v>
      </c>
      <c r="E22" s="148" t="n">
        <f aca="false">SUM(E14:E21)</f>
        <v>18365.508</v>
      </c>
      <c r="F22" s="148" t="n">
        <f aca="false">SUM(F14:F21)</f>
        <v>20406.12</v>
      </c>
      <c r="G22" s="148" t="n">
        <f aca="false">SUM(G14:G21)</f>
        <v>26936.0784</v>
      </c>
      <c r="H22" s="148" t="n">
        <f aca="false">SUM(H14:H21)</f>
        <v>17685.304</v>
      </c>
      <c r="I22" s="148" t="n">
        <f aca="false">SUM(I14:I21)</f>
        <v>136040.8</v>
      </c>
    </row>
    <row r="24" customFormat="false" ht="19.5" hidden="false" customHeight="true" outlineLevel="0" collapsed="false">
      <c r="A24" s="33" t="s">
        <v>308</v>
      </c>
      <c r="B24" s="33"/>
      <c r="C24" s="33"/>
      <c r="D24" s="33"/>
      <c r="E24" s="33"/>
      <c r="F24" s="33"/>
      <c r="G24" s="33"/>
      <c r="H24" s="33"/>
      <c r="I24" s="33"/>
    </row>
    <row r="25" customFormat="false" ht="15" hidden="false" customHeight="true" outlineLevel="0" collapsed="false">
      <c r="A25" s="48" t="s">
        <v>248</v>
      </c>
      <c r="B25" s="48" t="s">
        <v>8</v>
      </c>
      <c r="C25" s="48" t="s">
        <v>9</v>
      </c>
      <c r="D25" s="48" t="s">
        <v>10</v>
      </c>
      <c r="E25" s="48" t="s">
        <v>11</v>
      </c>
      <c r="F25" s="48" t="s">
        <v>12</v>
      </c>
      <c r="G25" s="48" t="s">
        <v>13</v>
      </c>
      <c r="H25" s="48" t="s">
        <v>14</v>
      </c>
      <c r="I25" s="48" t="s">
        <v>142</v>
      </c>
    </row>
    <row r="26" customFormat="false" ht="15" hidden="false" customHeight="true" outlineLevel="0" collapsed="false">
      <c r="A26" s="157" t="str">
        <f aca="false">Parametri!A22</f>
        <v>FV</v>
      </c>
      <c r="B26" s="145" t="n">
        <f aca="false">B14/Parametri!$D$22</f>
        <v>4.658</v>
      </c>
      <c r="C26" s="145" t="n">
        <f aca="false">C14/Parametri!$D$22</f>
        <v>4.284</v>
      </c>
      <c r="D26" s="145" t="n">
        <f aca="false">D14/Parametri!$D$22</f>
        <v>4.216</v>
      </c>
      <c r="E26" s="145" t="n">
        <f aca="false">E14/Parametri!$D$22</f>
        <v>4.59</v>
      </c>
      <c r="F26" s="145" t="n">
        <f aca="false">F14/Parametri!$D$22</f>
        <v>5.1</v>
      </c>
      <c r="G26" s="145" t="n">
        <f aca="false">G14/Parametri!$D$22</f>
        <v>6.732</v>
      </c>
      <c r="H26" s="145" t="n">
        <f aca="false">H14/Parametri!$D$22</f>
        <v>4.42</v>
      </c>
      <c r="I26" s="88" t="n">
        <f aca="false">SUM(B26:H26)</f>
        <v>34</v>
      </c>
    </row>
    <row r="27" customFormat="false" ht="15" hidden="false" customHeight="true" outlineLevel="0" collapsed="false">
      <c r="A27" s="158" t="str">
        <f aca="false">Parametri!A23</f>
        <v>BAKE</v>
      </c>
      <c r="B27" s="76" t="n">
        <f aca="false">B15/Parametri!$D$23</f>
        <v>4.45097777777778</v>
      </c>
      <c r="C27" s="76" t="n">
        <f aca="false">C15/Parametri!$D$23</f>
        <v>4.0936</v>
      </c>
      <c r="D27" s="76" t="n">
        <f aca="false">D15/Parametri!$D$23</f>
        <v>4.02862222222222</v>
      </c>
      <c r="E27" s="76" t="n">
        <f aca="false">E15/Parametri!$D$23</f>
        <v>4.386</v>
      </c>
      <c r="F27" s="76" t="n">
        <f aca="false">F15/Parametri!$D$23</f>
        <v>4.87333333333333</v>
      </c>
      <c r="G27" s="76" t="n">
        <f aca="false">G15/Parametri!$D$23</f>
        <v>6.4328</v>
      </c>
      <c r="H27" s="76" t="n">
        <f aca="false">H15/Parametri!$D$23</f>
        <v>4.22355555555556</v>
      </c>
      <c r="I27" s="95" t="n">
        <f aca="false">SUM(B27:H27)</f>
        <v>32.4888888888889</v>
      </c>
    </row>
    <row r="28" customFormat="false" ht="15" hidden="false" customHeight="true" outlineLevel="0" collapsed="false">
      <c r="A28" s="157" t="str">
        <f aca="false">Parametri!A24</f>
        <v>CARNE</v>
      </c>
      <c r="B28" s="145" t="n">
        <f aca="false">B16/Parametri!$D$24</f>
        <v>1.20072888888889</v>
      </c>
      <c r="C28" s="145" t="n">
        <f aca="false">C16/Parametri!$D$24</f>
        <v>1.10432</v>
      </c>
      <c r="D28" s="145" t="n">
        <f aca="false">D16/Parametri!$D$24</f>
        <v>1.08679111111111</v>
      </c>
      <c r="E28" s="145" t="n">
        <f aca="false">E16/Parametri!$D$24</f>
        <v>1.1832</v>
      </c>
      <c r="F28" s="145" t="n">
        <f aca="false">F16/Parametri!$D$24</f>
        <v>1.31466666666667</v>
      </c>
      <c r="G28" s="145" t="n">
        <f aca="false">G16/Parametri!$D$24</f>
        <v>1.73536</v>
      </c>
      <c r="H28" s="145" t="n">
        <f aca="false">H16/Parametri!$D$24</f>
        <v>1.13937777777778</v>
      </c>
      <c r="I28" s="88" t="n">
        <f aca="false">SUM(B28:H28)</f>
        <v>8.76444444444445</v>
      </c>
    </row>
    <row r="29" customFormat="false" ht="15" hidden="false" customHeight="true" outlineLevel="0" collapsed="false">
      <c r="A29" s="158" t="str">
        <f aca="false">Parametri!A25</f>
        <v>SECCHI</v>
      </c>
      <c r="B29" s="76" t="n">
        <f aca="false">B17/Parametri!$D$25</f>
        <v>6.15570501474926</v>
      </c>
      <c r="C29" s="76" t="n">
        <f aca="false">C17/Parametri!$D$25</f>
        <v>5.66145132743363</v>
      </c>
      <c r="D29" s="76" t="n">
        <f aca="false">D17/Parametri!$D$25</f>
        <v>5.57158702064897</v>
      </c>
      <c r="E29" s="76" t="n">
        <f aca="false">E17/Parametri!$D$25</f>
        <v>6.0658407079646</v>
      </c>
      <c r="F29" s="76" t="n">
        <f aca="false">F17/Parametri!$D$25</f>
        <v>6.73982300884956</v>
      </c>
      <c r="G29" s="76" t="n">
        <f aca="false">G17/Parametri!$D$25</f>
        <v>8.89656637168142</v>
      </c>
      <c r="H29" s="76" t="n">
        <f aca="false">H17/Parametri!$D$25</f>
        <v>5.84117994100295</v>
      </c>
      <c r="I29" s="95" t="n">
        <f aca="false">SUM(B29:H29)</f>
        <v>44.9321533923304</v>
      </c>
    </row>
    <row r="30" customFormat="false" ht="15" hidden="false" customHeight="true" outlineLevel="0" collapsed="false">
      <c r="A30" s="157" t="str">
        <f aca="false">Parametri!A26</f>
        <v>SURGELATI</v>
      </c>
      <c r="B30" s="145" t="n">
        <f aca="false">B18/Parametri!$D$26</f>
        <v>1.310816</v>
      </c>
      <c r="C30" s="145" t="n">
        <f aca="false">C18/Parametri!$D$26</f>
        <v>1.205568</v>
      </c>
      <c r="D30" s="145" t="n">
        <f aca="false">D18/Parametri!$D$26</f>
        <v>1.186432</v>
      </c>
      <c r="E30" s="145" t="n">
        <f aca="false">E18/Parametri!$D$26</f>
        <v>1.29168</v>
      </c>
      <c r="F30" s="145" t="n">
        <f aca="false">F18/Parametri!$D$26</f>
        <v>1.4352</v>
      </c>
      <c r="G30" s="145" t="n">
        <f aca="false">G18/Parametri!$D$26</f>
        <v>1.894464</v>
      </c>
      <c r="H30" s="145" t="n">
        <f aca="false">H18/Parametri!$D$26</f>
        <v>1.24384</v>
      </c>
      <c r="I30" s="88" t="n">
        <f aca="false">SUM(B30:H30)</f>
        <v>9.568</v>
      </c>
    </row>
    <row r="31" customFormat="false" ht="15" hidden="false" customHeight="true" outlineLevel="0" collapsed="false">
      <c r="A31" s="158" t="str">
        <f aca="false">Parametri!A27</f>
        <v>FRESCHI</v>
      </c>
      <c r="B31" s="76" t="n">
        <f aca="false">B19/Parametri!$D$27</f>
        <v>2.83193483535529</v>
      </c>
      <c r="C31" s="76" t="n">
        <f aca="false">C19/Parametri!$D$27</f>
        <v>2.60455320623917</v>
      </c>
      <c r="D31" s="76" t="n">
        <f aca="false">D19/Parametri!$D$27</f>
        <v>2.56321109185442</v>
      </c>
      <c r="E31" s="76" t="n">
        <f aca="false">E19/Parametri!$D$27</f>
        <v>2.79059272097054</v>
      </c>
      <c r="F31" s="76" t="n">
        <f aca="false">F19/Parametri!$D$27</f>
        <v>3.10065857885615</v>
      </c>
      <c r="G31" s="76" t="n">
        <f aca="false">G19/Parametri!$D$27</f>
        <v>4.09286932409012</v>
      </c>
      <c r="H31" s="76" t="n">
        <f aca="false">H19/Parametri!$D$27</f>
        <v>2.68723743500867</v>
      </c>
      <c r="I31" s="95" t="n">
        <f aca="false">SUM(B31:H31)</f>
        <v>20.6710571923744</v>
      </c>
    </row>
    <row r="32" customFormat="false" ht="15" hidden="false" customHeight="true" outlineLevel="0" collapsed="false">
      <c r="A32" s="157" t="str">
        <f aca="false">Parametri!A28</f>
        <v>PROMO FOOD</v>
      </c>
      <c r="B32" s="145" t="n">
        <f aca="false">B20/Parametri!$D$28</f>
        <v>0.68689400921659</v>
      </c>
      <c r="C32" s="145" t="n">
        <f aca="false">C20/Parametri!$D$28</f>
        <v>0.631741935483871</v>
      </c>
      <c r="D32" s="145" t="n">
        <f aca="false">D20/Parametri!$D$28</f>
        <v>0.621714285714286</v>
      </c>
      <c r="E32" s="145" t="n">
        <f aca="false">E20/Parametri!$D$28</f>
        <v>0.676866359447005</v>
      </c>
      <c r="F32" s="145" t="n">
        <f aca="false">F20/Parametri!$D$28</f>
        <v>0.752073732718894</v>
      </c>
      <c r="G32" s="145" t="n">
        <f aca="false">G20/Parametri!$D$28</f>
        <v>0.99273732718894</v>
      </c>
      <c r="H32" s="145" t="n">
        <f aca="false">H20/Parametri!$D$28</f>
        <v>0.651797235023042</v>
      </c>
      <c r="I32" s="88" t="n">
        <f aca="false">SUM(B32:H32)</f>
        <v>5.01382488479263</v>
      </c>
    </row>
    <row r="33" customFormat="false" ht="15" hidden="false" customHeight="true" outlineLevel="0" collapsed="false">
      <c r="A33" s="158" t="str">
        <f aca="false">Parametri!A29</f>
        <v>PROMO NF</v>
      </c>
      <c r="B33" s="76" t="n">
        <f aca="false">B21/Parametri!$D$29</f>
        <v>1.31787317073171</v>
      </c>
      <c r="C33" s="76" t="n">
        <f aca="false">C21/Parametri!$D$29</f>
        <v>1.21205853658537</v>
      </c>
      <c r="D33" s="76" t="n">
        <f aca="false">D21/Parametri!$D$29</f>
        <v>1.19281951219512</v>
      </c>
      <c r="E33" s="76" t="n">
        <f aca="false">E21/Parametri!$D$29</f>
        <v>1.29863414634146</v>
      </c>
      <c r="F33" s="76" t="n">
        <f aca="false">F21/Parametri!$D$29</f>
        <v>1.44292682926829</v>
      </c>
      <c r="G33" s="76" t="n">
        <f aca="false">G21/Parametri!$D$29</f>
        <v>1.90466341463415</v>
      </c>
      <c r="H33" s="76" t="n">
        <f aca="false">H21/Parametri!$D$29</f>
        <v>1.25053658536585</v>
      </c>
      <c r="I33" s="95" t="n">
        <f aca="false">SUM(B33:H33)</f>
        <v>9.61951219512195</v>
      </c>
    </row>
    <row r="34" customFormat="false" ht="15" hidden="false" customHeight="true" outlineLevel="0" collapsed="false">
      <c r="A34" s="67" t="s">
        <v>309</v>
      </c>
      <c r="B34" s="68" t="n">
        <f aca="false">SUM(B26:B33)</f>
        <v>22.6129296967195</v>
      </c>
      <c r="C34" s="68" t="n">
        <f aca="false">SUM(C26:C33)</f>
        <v>20.797293005742</v>
      </c>
      <c r="D34" s="68" t="n">
        <f aca="false">SUM(D26:D33)</f>
        <v>20.4671772437461</v>
      </c>
      <c r="E34" s="68" t="n">
        <f aca="false">SUM(E26:E33)</f>
        <v>22.2828139347236</v>
      </c>
      <c r="F34" s="68" t="n">
        <f aca="false">SUM(F26:F33)</f>
        <v>24.7586821496929</v>
      </c>
      <c r="G34" s="68" t="n">
        <f aca="false">SUM(G26:G33)</f>
        <v>32.6814604375946</v>
      </c>
      <c r="H34" s="68" t="n">
        <f aca="false">SUM(H26:H33)</f>
        <v>21.4575245297338</v>
      </c>
      <c r="I34" s="68" t="n">
        <f aca="false">SUM(I26:I33)</f>
        <v>165.057880997953</v>
      </c>
    </row>
    <row r="36" customFormat="false" ht="19.5" hidden="false" customHeight="true" outlineLevel="0" collapsed="false">
      <c r="A36" s="33" t="s">
        <v>310</v>
      </c>
      <c r="B36" s="33"/>
      <c r="C36" s="33"/>
      <c r="D36" s="33"/>
      <c r="E36" s="33"/>
      <c r="F36" s="33"/>
      <c r="G36" s="33"/>
      <c r="H36" s="33"/>
      <c r="I36" s="33"/>
    </row>
    <row r="37" customFormat="false" ht="23.25" hidden="false" customHeight="true" outlineLevel="0" collapsed="false">
      <c r="A37" s="48" t="s">
        <v>311</v>
      </c>
      <c r="B37" s="48" t="s">
        <v>312</v>
      </c>
      <c r="C37" s="48" t="s">
        <v>8</v>
      </c>
      <c r="D37" s="48" t="s">
        <v>9</v>
      </c>
      <c r="E37" s="48" t="s">
        <v>10</v>
      </c>
      <c r="F37" s="48" t="s">
        <v>11</v>
      </c>
      <c r="G37" s="48" t="s">
        <v>12</v>
      </c>
      <c r="H37" s="48" t="s">
        <v>13</v>
      </c>
      <c r="I37" s="48" t="s">
        <v>14</v>
      </c>
    </row>
    <row r="38" customFormat="false" ht="15" hidden="false" customHeight="true" outlineLevel="0" collapsed="false">
      <c r="A38" s="159" t="s">
        <v>313</v>
      </c>
      <c r="B38" s="142" t="n">
        <v>0.052</v>
      </c>
      <c r="C38" s="144" t="n">
        <f aca="false">$B38*B$8</f>
        <v>57.9770975873244</v>
      </c>
      <c r="D38" s="144" t="n">
        <f aca="false">$B38*C$8</f>
        <v>53.322002160605</v>
      </c>
      <c r="E38" s="144" t="n">
        <f aca="false">$B38*D$8</f>
        <v>52.4756211739287</v>
      </c>
      <c r="F38" s="144" t="n">
        <f aca="false">$B38*E$8</f>
        <v>57.1307166006482</v>
      </c>
      <c r="G38" s="144" t="n">
        <f aca="false">$B38*F$8</f>
        <v>63.4785740007202</v>
      </c>
      <c r="H38" s="144" t="n">
        <f aca="false">$B38*G$8</f>
        <v>83.7917176809507</v>
      </c>
      <c r="I38" s="144" t="n">
        <f aca="false">$B38*H$8</f>
        <v>55.0147641339575</v>
      </c>
    </row>
    <row r="39" customFormat="false" ht="15" hidden="false" customHeight="true" outlineLevel="0" collapsed="false">
      <c r="A39" s="159" t="s">
        <v>314</v>
      </c>
      <c r="B39" s="142" t="n">
        <v>0.073</v>
      </c>
      <c r="C39" s="144" t="n">
        <f aca="false">$B39*B$8</f>
        <v>81.3909254591286</v>
      </c>
      <c r="D39" s="144" t="n">
        <f aca="false">$B39*C$8</f>
        <v>74.8558876485416</v>
      </c>
      <c r="E39" s="144" t="n">
        <f aca="false">$B39*D$8</f>
        <v>73.6676989557076</v>
      </c>
      <c r="F39" s="144" t="n">
        <f aca="false">$B39*E$8</f>
        <v>80.2027367662946</v>
      </c>
      <c r="G39" s="144" t="n">
        <f aca="false">$B39*F$8</f>
        <v>89.1141519625495</v>
      </c>
      <c r="H39" s="144" t="n">
        <f aca="false">$B39*G$8</f>
        <v>117.630680590565</v>
      </c>
      <c r="I39" s="144" t="n">
        <f aca="false">$B39*H$8</f>
        <v>77.2322650342096</v>
      </c>
    </row>
    <row r="40" customFormat="false" ht="15" hidden="false" customHeight="true" outlineLevel="0" collapsed="false">
      <c r="A40" s="159" t="s">
        <v>315</v>
      </c>
      <c r="B40" s="142" t="n">
        <v>0.094</v>
      </c>
      <c r="C40" s="144" t="n">
        <f aca="false">$B40*B$8</f>
        <v>104.804753330933</v>
      </c>
      <c r="D40" s="144" t="n">
        <f aca="false">$B40*C$8</f>
        <v>96.3897731364782</v>
      </c>
      <c r="E40" s="144" t="n">
        <f aca="false">$B40*D$8</f>
        <v>94.8597767374865</v>
      </c>
      <c r="F40" s="144" t="n">
        <f aca="false">$B40*E$8</f>
        <v>103.274756931941</v>
      </c>
      <c r="G40" s="144" t="n">
        <f aca="false">$B40*F$8</f>
        <v>114.749729924379</v>
      </c>
      <c r="H40" s="144" t="n">
        <f aca="false">$B40*G$8</f>
        <v>151.46964350018</v>
      </c>
      <c r="I40" s="144" t="n">
        <f aca="false">$B40*H$8</f>
        <v>99.4497659344617</v>
      </c>
    </row>
    <row r="41" customFormat="false" ht="15" hidden="false" customHeight="true" outlineLevel="0" collapsed="false">
      <c r="A41" s="159" t="s">
        <v>316</v>
      </c>
      <c r="B41" s="142" t="n">
        <v>0.104</v>
      </c>
      <c r="C41" s="144" t="n">
        <f aca="false">$B41*B$8</f>
        <v>115.954195174649</v>
      </c>
      <c r="D41" s="144" t="n">
        <f aca="false">$B41*C$8</f>
        <v>106.64400432121</v>
      </c>
      <c r="E41" s="144" t="n">
        <f aca="false">$B41*D$8</f>
        <v>104.951242347857</v>
      </c>
      <c r="F41" s="144" t="n">
        <f aca="false">$B41*E$8</f>
        <v>114.261433201296</v>
      </c>
      <c r="G41" s="144" t="n">
        <f aca="false">$B41*F$8</f>
        <v>126.95714800144</v>
      </c>
      <c r="H41" s="144" t="n">
        <f aca="false">$B41*G$8</f>
        <v>167.583435361901</v>
      </c>
      <c r="I41" s="144" t="n">
        <f aca="false">$B41*H$8</f>
        <v>110.029528267915</v>
      </c>
    </row>
    <row r="42" customFormat="false" ht="15" hidden="false" customHeight="true" outlineLevel="0" collapsed="false">
      <c r="A42" s="159" t="s">
        <v>317</v>
      </c>
      <c r="B42" s="142" t="n">
        <v>0.083</v>
      </c>
      <c r="C42" s="144" t="n">
        <f aca="false">$B42*B$8</f>
        <v>92.5403673028448</v>
      </c>
      <c r="D42" s="144" t="n">
        <f aca="false">$B42*C$8</f>
        <v>85.1101188332733</v>
      </c>
      <c r="E42" s="144" t="n">
        <f aca="false">$B42*D$8</f>
        <v>83.7591645660785</v>
      </c>
      <c r="F42" s="144" t="n">
        <f aca="false">$B42*E$8</f>
        <v>91.18941303565</v>
      </c>
      <c r="G42" s="144" t="n">
        <f aca="false">$B42*F$8</f>
        <v>101.321570039611</v>
      </c>
      <c r="H42" s="144" t="n">
        <f aca="false">$B42*G$8</f>
        <v>133.744472452287</v>
      </c>
      <c r="I42" s="144" t="n">
        <f aca="false">$B42*H$8</f>
        <v>87.812027367663</v>
      </c>
    </row>
    <row r="43" customFormat="false" ht="15" hidden="false" customHeight="true" outlineLevel="0" collapsed="false">
      <c r="A43" s="159" t="s">
        <v>318</v>
      </c>
      <c r="B43" s="142" t="n">
        <v>0.073</v>
      </c>
      <c r="C43" s="144" t="n">
        <f aca="false">$B43*B$8</f>
        <v>81.3909254591286</v>
      </c>
      <c r="D43" s="144" t="n">
        <f aca="false">$B43*C$8</f>
        <v>74.8558876485416</v>
      </c>
      <c r="E43" s="144" t="n">
        <f aca="false">$B43*D$8</f>
        <v>73.6676989557076</v>
      </c>
      <c r="F43" s="144" t="n">
        <f aca="false">$B43*E$8</f>
        <v>80.2027367662946</v>
      </c>
      <c r="G43" s="144" t="n">
        <f aca="false">$B43*F$8</f>
        <v>89.1141519625495</v>
      </c>
      <c r="H43" s="144" t="n">
        <f aca="false">$B43*G$8</f>
        <v>117.630680590565</v>
      </c>
      <c r="I43" s="144" t="n">
        <f aca="false">$B43*H$8</f>
        <v>77.2322650342096</v>
      </c>
    </row>
    <row r="44" customFormat="false" ht="15" hidden="false" customHeight="true" outlineLevel="0" collapsed="false">
      <c r="A44" s="159" t="s">
        <v>319</v>
      </c>
      <c r="B44" s="142" t="n">
        <v>0.062</v>
      </c>
      <c r="C44" s="144" t="n">
        <f aca="false">$B44*B$8</f>
        <v>69.1265394310407</v>
      </c>
      <c r="D44" s="144" t="n">
        <f aca="false">$B44*C$8</f>
        <v>63.5762333453367</v>
      </c>
      <c r="E44" s="144" t="n">
        <f aca="false">$B44*D$8</f>
        <v>62.5670867842996</v>
      </c>
      <c r="F44" s="144" t="n">
        <f aca="false">$B44*E$8</f>
        <v>68.1173928700036</v>
      </c>
      <c r="G44" s="144" t="n">
        <f aca="false">$B44*F$8</f>
        <v>75.6859920777818</v>
      </c>
      <c r="H44" s="144" t="n">
        <f aca="false">$B44*G$8</f>
        <v>99.905509542672</v>
      </c>
      <c r="I44" s="144" t="n">
        <f aca="false">$B44*H$8</f>
        <v>65.5945264674109</v>
      </c>
    </row>
    <row r="45" customFormat="false" ht="15" hidden="false" customHeight="true" outlineLevel="0" collapsed="false">
      <c r="A45" s="159" t="s">
        <v>320</v>
      </c>
      <c r="B45" s="142" t="n">
        <v>0.062</v>
      </c>
      <c r="C45" s="144" t="n">
        <f aca="false">$B45*B$8</f>
        <v>69.1265394310407</v>
      </c>
      <c r="D45" s="144" t="n">
        <f aca="false">$B45*C$8</f>
        <v>63.5762333453367</v>
      </c>
      <c r="E45" s="144" t="n">
        <f aca="false">$B45*D$8</f>
        <v>62.5670867842996</v>
      </c>
      <c r="F45" s="144" t="n">
        <f aca="false">$B45*E$8</f>
        <v>68.1173928700036</v>
      </c>
      <c r="G45" s="144" t="n">
        <f aca="false">$B45*F$8</f>
        <v>75.6859920777818</v>
      </c>
      <c r="H45" s="144" t="n">
        <f aca="false">$B45*G$8</f>
        <v>99.905509542672</v>
      </c>
      <c r="I45" s="144" t="n">
        <f aca="false">$B45*H$8</f>
        <v>65.5945264674109</v>
      </c>
    </row>
    <row r="46" customFormat="false" ht="15" hidden="false" customHeight="true" outlineLevel="0" collapsed="false">
      <c r="A46" s="159" t="s">
        <v>321</v>
      </c>
      <c r="B46" s="142" t="n">
        <v>0.073</v>
      </c>
      <c r="C46" s="144" t="n">
        <f aca="false">$B46*B$8</f>
        <v>81.3909254591286</v>
      </c>
      <c r="D46" s="144" t="n">
        <f aca="false">$B46*C$8</f>
        <v>74.8558876485416</v>
      </c>
      <c r="E46" s="144" t="n">
        <f aca="false">$B46*D$8</f>
        <v>73.6676989557076</v>
      </c>
      <c r="F46" s="144" t="n">
        <f aca="false">$B46*E$8</f>
        <v>80.2027367662946</v>
      </c>
      <c r="G46" s="144" t="n">
        <f aca="false">$B46*F$8</f>
        <v>89.1141519625495</v>
      </c>
      <c r="H46" s="144" t="n">
        <f aca="false">$B46*G$8</f>
        <v>117.630680590565</v>
      </c>
      <c r="I46" s="144" t="n">
        <f aca="false">$B46*H$8</f>
        <v>77.2322650342096</v>
      </c>
    </row>
    <row r="47" customFormat="false" ht="15" hidden="false" customHeight="true" outlineLevel="0" collapsed="false">
      <c r="A47" s="159" t="s">
        <v>322</v>
      </c>
      <c r="B47" s="142" t="n">
        <v>0.094</v>
      </c>
      <c r="C47" s="144" t="n">
        <f aca="false">$B47*B$8</f>
        <v>104.804753330933</v>
      </c>
      <c r="D47" s="144" t="n">
        <f aca="false">$B47*C$8</f>
        <v>96.3897731364782</v>
      </c>
      <c r="E47" s="144" t="n">
        <f aca="false">$B47*D$8</f>
        <v>94.8597767374865</v>
      </c>
      <c r="F47" s="144" t="n">
        <f aca="false">$B47*E$8</f>
        <v>103.274756931941</v>
      </c>
      <c r="G47" s="144" t="n">
        <f aca="false">$B47*F$8</f>
        <v>114.749729924379</v>
      </c>
      <c r="H47" s="144" t="n">
        <f aca="false">$B47*G$8</f>
        <v>151.46964350018</v>
      </c>
      <c r="I47" s="144" t="n">
        <f aca="false">$B47*H$8</f>
        <v>99.4497659344617</v>
      </c>
    </row>
    <row r="48" customFormat="false" ht="15" hidden="false" customHeight="true" outlineLevel="0" collapsed="false">
      <c r="A48" s="159" t="s">
        <v>323</v>
      </c>
      <c r="B48" s="142" t="n">
        <v>0.104</v>
      </c>
      <c r="C48" s="144" t="n">
        <f aca="false">$B48*B$8</f>
        <v>115.954195174649</v>
      </c>
      <c r="D48" s="144" t="n">
        <f aca="false">$B48*C$8</f>
        <v>106.64400432121</v>
      </c>
      <c r="E48" s="144" t="n">
        <f aca="false">$B48*D$8</f>
        <v>104.951242347857</v>
      </c>
      <c r="F48" s="144" t="n">
        <f aca="false">$B48*E$8</f>
        <v>114.261433201296</v>
      </c>
      <c r="G48" s="144" t="n">
        <f aca="false">$B48*F$8</f>
        <v>126.95714800144</v>
      </c>
      <c r="H48" s="144" t="n">
        <f aca="false">$B48*G$8</f>
        <v>167.583435361901</v>
      </c>
      <c r="I48" s="144" t="n">
        <f aca="false">$B48*H$8</f>
        <v>110.029528267915</v>
      </c>
    </row>
    <row r="49" customFormat="false" ht="15" hidden="false" customHeight="true" outlineLevel="0" collapsed="false">
      <c r="A49" s="159" t="s">
        <v>324</v>
      </c>
      <c r="B49" s="142" t="n">
        <v>0.083</v>
      </c>
      <c r="C49" s="144" t="n">
        <f aca="false">$B49*B$8</f>
        <v>92.5403673028448</v>
      </c>
      <c r="D49" s="144" t="n">
        <f aca="false">$B49*C$8</f>
        <v>85.1101188332733</v>
      </c>
      <c r="E49" s="144" t="n">
        <f aca="false">$B49*D$8</f>
        <v>83.7591645660785</v>
      </c>
      <c r="F49" s="144" t="n">
        <f aca="false">$B49*E$8</f>
        <v>91.18941303565</v>
      </c>
      <c r="G49" s="144" t="n">
        <f aca="false">$B49*F$8</f>
        <v>101.321570039611</v>
      </c>
      <c r="H49" s="144" t="n">
        <f aca="false">$B49*G$8</f>
        <v>133.744472452287</v>
      </c>
      <c r="I49" s="144" t="n">
        <f aca="false">$B49*H$8</f>
        <v>87.812027367663</v>
      </c>
    </row>
    <row r="50" customFormat="false" ht="15" hidden="false" customHeight="true" outlineLevel="0" collapsed="false">
      <c r="A50" s="159" t="s">
        <v>325</v>
      </c>
      <c r="B50" s="142" t="n">
        <v>0.043</v>
      </c>
      <c r="C50" s="144" t="n">
        <f aca="false">$B50*B$8</f>
        <v>47.9425999279798</v>
      </c>
      <c r="D50" s="144" t="n">
        <f aca="false">$B50*C$8</f>
        <v>44.0931940943464</v>
      </c>
      <c r="E50" s="144" t="n">
        <f aca="false">$B50*D$8</f>
        <v>43.3933021245949</v>
      </c>
      <c r="F50" s="144" t="n">
        <f aca="false">$B50*E$8</f>
        <v>47.2427079582283</v>
      </c>
      <c r="G50" s="144" t="n">
        <f aca="false">$B50*F$8</f>
        <v>52.4918977313648</v>
      </c>
      <c r="H50" s="144" t="n">
        <f aca="false">$B50*G$8</f>
        <v>69.2893050054015</v>
      </c>
      <c r="I50" s="144" t="n">
        <f aca="false">$B50*H$8</f>
        <v>45.4929780338495</v>
      </c>
    </row>
    <row r="51" customFormat="false" ht="15" hidden="false" customHeight="true" outlineLevel="0" collapsed="false">
      <c r="A51" s="96" t="s">
        <v>71</v>
      </c>
      <c r="B51" s="70" t="n">
        <f aca="false">SUM(B38:B50)</f>
        <v>1</v>
      </c>
      <c r="C51" s="148" t="n">
        <f aca="false">SUM(C38:C50)</f>
        <v>1114.94418437162</v>
      </c>
      <c r="D51" s="148" t="n">
        <f aca="false">SUM(D38:D50)</f>
        <v>1025.42311847317</v>
      </c>
      <c r="E51" s="148" t="n">
        <f aca="false">SUM(E38:E50)</f>
        <v>1009.14656103709</v>
      </c>
      <c r="F51" s="148" t="n">
        <f aca="false">SUM(F38:F50)</f>
        <v>1098.66762693554</v>
      </c>
      <c r="G51" s="148" t="n">
        <f aca="false">SUM(G38:G50)</f>
        <v>1220.74180770616</v>
      </c>
      <c r="H51" s="148" t="n">
        <f aca="false">SUM(H38:H50)</f>
        <v>1611.37918617213</v>
      </c>
      <c r="I51" s="148" t="n">
        <f aca="false">SUM(I38:I50)</f>
        <v>1057.97623334534</v>
      </c>
    </row>
    <row r="52" customFormat="false" ht="15" hidden="false" customHeight="true" outlineLevel="0" collapsed="false">
      <c r="A52" s="38" t="s">
        <v>326</v>
      </c>
      <c r="B52" s="156" t="str">
        <f aca="false">IF(ABS(B51-1)&lt;0.0001,"OK","ERRORE: 100%")</f>
        <v>OK</v>
      </c>
    </row>
  </sheetData>
  <mergeCells count="5">
    <mergeCell ref="A1:I1"/>
    <mergeCell ref="A4:I4"/>
    <mergeCell ref="A12:I12"/>
    <mergeCell ref="A24:I24"/>
    <mergeCell ref="A36:I36"/>
  </mergeCells>
  <conditionalFormatting sqref="B10">
    <cfRule type="expression" priority="2" aboveAverage="0" equalAverage="0" bottom="0" percent="0" rank="0" text="" dxfId="4">
      <formula>OR(ISNUMBER(SEARCH("IN LINEA",B10)),ISNUMBER(SEARCH("OK",B10)))</formula>
    </cfRule>
    <cfRule type="expression" priority="3" aboveAverage="0" equalAverage="0" bottom="0" percent="0" rank="0" text="" dxfId="4">
      <formula>ISNUMBER(SEARCH("SOTTO",B10))</formula>
    </cfRule>
    <cfRule type="expression" priority="4" aboveAverage="0" equalAverage="0" bottom="0" percent="0" rank="0" text="" dxfId="4">
      <formula>OR(ISNUMBER(SEARCH("SOPRA",B10)),ISNUMBER(SEARCH("OLTRE",B10)),ISNUMBER(SEARCH("KO",B10)),ISNUMBER(SEARCH("NO RESP",B10)),ISNUMBER(SEARCH("ANOMAL",B10)))</formula>
    </cfRule>
  </conditionalFormatting>
  <conditionalFormatting sqref="B52">
    <cfRule type="expression" priority="5" aboveAverage="0" equalAverage="0" bottom="0" percent="0" rank="0" text="" dxfId="4">
      <formula>OR(ISNUMBER(SEARCH("IN LINEA",B52)),ISNUMBER(SEARCH("OK",B52)))</formula>
    </cfRule>
    <cfRule type="expression" priority="6" aboveAverage="0" equalAverage="0" bottom="0" percent="0" rank="0" text="" dxfId="4">
      <formula>ISNUMBER(SEARCH("SOTTO",B52))</formula>
    </cfRule>
    <cfRule type="expression" priority="7" aboveAverage="0" equalAverage="0" bottom="0" percent="0" rank="0" text="" dxfId="4">
      <formula>OR(ISNUMBER(SEARCH("SOPRA",B52)),ISNUMBER(SEARCH("OLTRE",B52)),ISNUMBER(SEARCH("KO",B52)),ISNUMBER(SEARCH("NO RESP",B52)),ISNUMBER(SEARCH("ANOMAL",B52)))</formula>
    </cfRule>
  </conditionalFormatting>
  <conditionalFormatting sqref="C38:I50">
    <cfRule type="colorScale" priority="8">
      <colorScale>
        <cfvo type="min" val="0"/>
        <cfvo type="percentile" val="60"/>
        <cfvo type="max" val="0"/>
        <color rgb="FFFFFFFF"/>
        <color rgb="FFFFE28A"/>
        <color rgb="FFF59F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0A14"/>
    <pageSetUpPr fitToPage="true"/>
  </sheetPr>
  <dimension ref="A1:I27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H18" activeCellId="0" sqref="H18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9" min="2" style="1" width="9.53"/>
    <col collapsed="false" customWidth="true" hidden="false" outlineLevel="0" max="1025" min="10" style="1" width="8.67"/>
  </cols>
  <sheetData>
    <row r="1" customFormat="false" ht="25.5" hidden="false" customHeight="true" outlineLevel="0" collapsed="false">
      <c r="A1" s="82" t="s">
        <v>327</v>
      </c>
      <c r="B1" s="82"/>
      <c r="C1" s="82"/>
      <c r="D1" s="82"/>
      <c r="E1" s="82"/>
      <c r="F1" s="82"/>
      <c r="G1" s="82"/>
      <c r="H1" s="82"/>
      <c r="I1" s="82"/>
    </row>
    <row r="2" customFormat="false" ht="15" hidden="false" customHeight="true" outlineLevel="0" collapsed="false">
      <c r="A2" s="38" t="s">
        <v>328</v>
      </c>
    </row>
    <row r="3" customFormat="false" ht="15" hidden="false" customHeight="true" outlineLevel="0" collapsed="false">
      <c r="A3" s="38" t="s">
        <v>329</v>
      </c>
    </row>
    <row r="5" customFormat="false" ht="15" hidden="false" customHeight="true" outlineLevel="0" collapsed="false">
      <c r="A5" s="48" t="s">
        <v>311</v>
      </c>
      <c r="B5" s="48" t="s">
        <v>8</v>
      </c>
      <c r="C5" s="48" t="s">
        <v>9</v>
      </c>
      <c r="D5" s="48" t="s">
        <v>10</v>
      </c>
      <c r="E5" s="48" t="s">
        <v>11</v>
      </c>
      <c r="F5" s="48" t="s">
        <v>12</v>
      </c>
      <c r="G5" s="48" t="s">
        <v>13</v>
      </c>
      <c r="H5" s="48" t="s">
        <v>14</v>
      </c>
    </row>
    <row r="6" customFormat="false" ht="15" hidden="false" customHeight="true" outlineLevel="0" collapsed="false">
      <c r="A6" s="159" t="s">
        <v>313</v>
      </c>
      <c r="B6" s="160" t="n">
        <f aca="false">MAX(1,ROUNDUP(Volumi!C38*(1-Parametri!$B$16)*Parametri!$B$13/Parametri!$B$14,0))</f>
        <v>2</v>
      </c>
      <c r="C6" s="160" t="n">
        <f aca="false">MAX(1,ROUNDUP(Volumi!D38*(1-Parametri!$B$16)*Parametri!$B$13/Parametri!$B$14,0))</f>
        <v>1</v>
      </c>
      <c r="D6" s="160" t="n">
        <f aca="false">MAX(1,ROUNDUP(Volumi!E38*(1-Parametri!$B$16)*Parametri!$B$13/Parametri!$B$14,0))</f>
        <v>1</v>
      </c>
      <c r="E6" s="160" t="n">
        <f aca="false">MAX(1,ROUNDUP(Volumi!F38*(1-Parametri!$B$16)*Parametri!$B$13/Parametri!$B$14,0))</f>
        <v>2</v>
      </c>
      <c r="F6" s="160" t="n">
        <f aca="false">MAX(1,ROUNDUP(Volumi!G38*(1-Parametri!$B$16)*Parametri!$B$13/Parametri!$B$14,0))</f>
        <v>2</v>
      </c>
      <c r="G6" s="160" t="n">
        <f aca="false">MAX(1,ROUNDUP(Volumi!H38*(1-Parametri!$B$16)*Parametri!$B$13/Parametri!$B$14,0))</f>
        <v>2</v>
      </c>
      <c r="H6" s="160" t="n">
        <f aca="false">MAX(1,ROUNDUP(Volumi!I38*(1-Parametri!$B$16)*Parametri!$B$13/Parametri!$B$14,0))</f>
        <v>1</v>
      </c>
    </row>
    <row r="7" customFormat="false" ht="15" hidden="false" customHeight="true" outlineLevel="0" collapsed="false">
      <c r="A7" s="159" t="s">
        <v>314</v>
      </c>
      <c r="B7" s="160" t="n">
        <f aca="false">MAX(1,ROUNDUP(Volumi!C39*(1-Parametri!$B$16)*Parametri!$B$13/Parametri!$B$14,0))</f>
        <v>2</v>
      </c>
      <c r="C7" s="160" t="n">
        <f aca="false">MAX(1,ROUNDUP(Volumi!D39*(1-Parametri!$B$16)*Parametri!$B$13/Parametri!$B$14,0))</f>
        <v>2</v>
      </c>
      <c r="D7" s="160" t="n">
        <f aca="false">MAX(1,ROUNDUP(Volumi!E39*(1-Parametri!$B$16)*Parametri!$B$13/Parametri!$B$14,0))</f>
        <v>2</v>
      </c>
      <c r="E7" s="160" t="n">
        <f aca="false">MAX(1,ROUNDUP(Volumi!F39*(1-Parametri!$B$16)*Parametri!$B$13/Parametri!$B$14,0))</f>
        <v>2</v>
      </c>
      <c r="F7" s="160" t="n">
        <f aca="false">MAX(1,ROUNDUP(Volumi!G39*(1-Parametri!$B$16)*Parametri!$B$13/Parametri!$B$14,0))</f>
        <v>2</v>
      </c>
      <c r="G7" s="160" t="n">
        <f aca="false">MAX(1,ROUNDUP(Volumi!H39*(1-Parametri!$B$16)*Parametri!$B$13/Parametri!$B$14,0))</f>
        <v>3</v>
      </c>
      <c r="H7" s="160" t="n">
        <f aca="false">MAX(1,ROUNDUP(Volumi!I39*(1-Parametri!$B$16)*Parametri!$B$13/Parametri!$B$14,0))</f>
        <v>2</v>
      </c>
    </row>
    <row r="8" customFormat="false" ht="15" hidden="false" customHeight="true" outlineLevel="0" collapsed="false">
      <c r="A8" s="159" t="s">
        <v>315</v>
      </c>
      <c r="B8" s="160" t="n">
        <f aca="false">MAX(1,ROUNDUP(Volumi!C40*(1-Parametri!$B$16)*Parametri!$B$13/Parametri!$B$14,0))</f>
        <v>2</v>
      </c>
      <c r="C8" s="160" t="n">
        <f aca="false">MAX(1,ROUNDUP(Volumi!D40*(1-Parametri!$B$16)*Parametri!$B$13/Parametri!$B$14,0))</f>
        <v>2</v>
      </c>
      <c r="D8" s="160" t="n">
        <f aca="false">MAX(1,ROUNDUP(Volumi!E40*(1-Parametri!$B$16)*Parametri!$B$13/Parametri!$B$14,0))</f>
        <v>2</v>
      </c>
      <c r="E8" s="160" t="n">
        <f aca="false">MAX(1,ROUNDUP(Volumi!F40*(1-Parametri!$B$16)*Parametri!$B$13/Parametri!$B$14,0))</f>
        <v>2</v>
      </c>
      <c r="F8" s="160" t="n">
        <f aca="false">MAX(1,ROUNDUP(Volumi!G40*(1-Parametri!$B$16)*Parametri!$B$13/Parametri!$B$14,0))</f>
        <v>3</v>
      </c>
      <c r="G8" s="160" t="n">
        <f aca="false">MAX(1,ROUNDUP(Volumi!H40*(1-Parametri!$B$16)*Parametri!$B$13/Parametri!$B$14,0))</f>
        <v>3</v>
      </c>
      <c r="H8" s="160" t="n">
        <f aca="false">MAX(1,ROUNDUP(Volumi!I40*(1-Parametri!$B$16)*Parametri!$B$13/Parametri!$B$14,0))</f>
        <v>2</v>
      </c>
    </row>
    <row r="9" customFormat="false" ht="15" hidden="false" customHeight="true" outlineLevel="0" collapsed="false">
      <c r="A9" s="159" t="s">
        <v>316</v>
      </c>
      <c r="B9" s="160" t="n">
        <f aca="false">MAX(1,ROUNDUP(Volumi!C41*(1-Parametri!$B$16)*Parametri!$B$13/Parametri!$B$14,0))</f>
        <v>3</v>
      </c>
      <c r="C9" s="160" t="n">
        <f aca="false">MAX(1,ROUNDUP(Volumi!D41*(1-Parametri!$B$16)*Parametri!$B$13/Parametri!$B$14,0))</f>
        <v>2</v>
      </c>
      <c r="D9" s="160" t="n">
        <f aca="false">MAX(1,ROUNDUP(Volumi!E41*(1-Parametri!$B$16)*Parametri!$B$13/Parametri!$B$14,0))</f>
        <v>2</v>
      </c>
      <c r="E9" s="160" t="n">
        <f aca="false">MAX(1,ROUNDUP(Volumi!F41*(1-Parametri!$B$16)*Parametri!$B$13/Parametri!$B$14,0))</f>
        <v>3</v>
      </c>
      <c r="F9" s="160" t="n">
        <f aca="false">MAX(1,ROUNDUP(Volumi!G41*(1-Parametri!$B$16)*Parametri!$B$13/Parametri!$B$14,0))</f>
        <v>3</v>
      </c>
      <c r="G9" s="160" t="n">
        <f aca="false">MAX(1,ROUNDUP(Volumi!H41*(1-Parametri!$B$16)*Parametri!$B$13/Parametri!$B$14,0))</f>
        <v>3</v>
      </c>
      <c r="H9" s="160" t="n">
        <f aca="false">MAX(1,ROUNDUP(Volumi!I41*(1-Parametri!$B$16)*Parametri!$B$13/Parametri!$B$14,0))</f>
        <v>2</v>
      </c>
    </row>
    <row r="10" customFormat="false" ht="15" hidden="false" customHeight="true" outlineLevel="0" collapsed="false">
      <c r="A10" s="159" t="s">
        <v>317</v>
      </c>
      <c r="B10" s="160" t="n">
        <f aca="false">MAX(1,ROUNDUP(Volumi!C42*(1-Parametri!$B$16)*Parametri!$B$13/Parametri!$B$14,0))</f>
        <v>2</v>
      </c>
      <c r="C10" s="160" t="n">
        <f aca="false">MAX(1,ROUNDUP(Volumi!D42*(1-Parametri!$B$16)*Parametri!$B$13/Parametri!$B$14,0))</f>
        <v>2</v>
      </c>
      <c r="D10" s="160" t="n">
        <f aca="false">MAX(1,ROUNDUP(Volumi!E42*(1-Parametri!$B$16)*Parametri!$B$13/Parametri!$B$14,0))</f>
        <v>2</v>
      </c>
      <c r="E10" s="160" t="n">
        <f aca="false">MAX(1,ROUNDUP(Volumi!F42*(1-Parametri!$B$16)*Parametri!$B$13/Parametri!$B$14,0))</f>
        <v>2</v>
      </c>
      <c r="F10" s="160" t="n">
        <f aca="false">MAX(1,ROUNDUP(Volumi!G42*(1-Parametri!$B$16)*Parametri!$B$13/Parametri!$B$14,0))</f>
        <v>2</v>
      </c>
      <c r="G10" s="160" t="n">
        <f aca="false">MAX(1,ROUNDUP(Volumi!H42*(1-Parametri!$B$16)*Parametri!$B$13/Parametri!$B$14,0))</f>
        <v>3</v>
      </c>
      <c r="H10" s="160" t="n">
        <f aca="false">MAX(1,ROUNDUP(Volumi!I42*(1-Parametri!$B$16)*Parametri!$B$13/Parametri!$B$14,0))</f>
        <v>2</v>
      </c>
    </row>
    <row r="11" customFormat="false" ht="15" hidden="false" customHeight="true" outlineLevel="0" collapsed="false">
      <c r="A11" s="159" t="s">
        <v>318</v>
      </c>
      <c r="B11" s="160" t="n">
        <f aca="false">MAX(1,ROUNDUP(Volumi!C43*(1-Parametri!$B$16)*Parametri!$B$13/Parametri!$B$14,0))</f>
        <v>2</v>
      </c>
      <c r="C11" s="160" t="n">
        <f aca="false">MAX(1,ROUNDUP(Volumi!D43*(1-Parametri!$B$16)*Parametri!$B$13/Parametri!$B$14,0))</f>
        <v>2</v>
      </c>
      <c r="D11" s="160" t="n">
        <f aca="false">MAX(1,ROUNDUP(Volumi!E43*(1-Parametri!$B$16)*Parametri!$B$13/Parametri!$B$14,0))</f>
        <v>2</v>
      </c>
      <c r="E11" s="160" t="n">
        <f aca="false">MAX(1,ROUNDUP(Volumi!F43*(1-Parametri!$B$16)*Parametri!$B$13/Parametri!$B$14,0))</f>
        <v>2</v>
      </c>
      <c r="F11" s="160" t="n">
        <f aca="false">MAX(1,ROUNDUP(Volumi!G43*(1-Parametri!$B$16)*Parametri!$B$13/Parametri!$B$14,0))</f>
        <v>2</v>
      </c>
      <c r="G11" s="160" t="n">
        <f aca="false">MAX(1,ROUNDUP(Volumi!H43*(1-Parametri!$B$16)*Parametri!$B$13/Parametri!$B$14,0))</f>
        <v>3</v>
      </c>
      <c r="H11" s="160" t="n">
        <f aca="false">MAX(1,ROUNDUP(Volumi!I43*(1-Parametri!$B$16)*Parametri!$B$13/Parametri!$B$14,0))</f>
        <v>2</v>
      </c>
    </row>
    <row r="12" customFormat="false" ht="15" hidden="false" customHeight="true" outlineLevel="0" collapsed="false">
      <c r="A12" s="159" t="s">
        <v>319</v>
      </c>
      <c r="B12" s="160" t="n">
        <f aca="false">MAX(1,ROUNDUP(Volumi!C44*(1-Parametri!$B$16)*Parametri!$B$13/Parametri!$B$14,0))</f>
        <v>2</v>
      </c>
      <c r="C12" s="160" t="n">
        <f aca="false">MAX(1,ROUNDUP(Volumi!D44*(1-Parametri!$B$16)*Parametri!$B$13/Parametri!$B$14,0))</f>
        <v>2</v>
      </c>
      <c r="D12" s="160" t="n">
        <f aca="false">MAX(1,ROUNDUP(Volumi!E44*(1-Parametri!$B$16)*Parametri!$B$13/Parametri!$B$14,0))</f>
        <v>2</v>
      </c>
      <c r="E12" s="160" t="n">
        <f aca="false">MAX(1,ROUNDUP(Volumi!F44*(1-Parametri!$B$16)*Parametri!$B$13/Parametri!$B$14,0))</f>
        <v>2</v>
      </c>
      <c r="F12" s="160" t="n">
        <f aca="false">MAX(1,ROUNDUP(Volumi!G44*(1-Parametri!$B$16)*Parametri!$B$13/Parametri!$B$14,0))</f>
        <v>2</v>
      </c>
      <c r="G12" s="160" t="n">
        <f aca="false">MAX(1,ROUNDUP(Volumi!H44*(1-Parametri!$B$16)*Parametri!$B$13/Parametri!$B$14,0))</f>
        <v>2</v>
      </c>
      <c r="H12" s="160" t="n">
        <f aca="false">MAX(1,ROUNDUP(Volumi!I44*(1-Parametri!$B$16)*Parametri!$B$13/Parametri!$B$14,0))</f>
        <v>2</v>
      </c>
    </row>
    <row r="13" customFormat="false" ht="15" hidden="false" customHeight="true" outlineLevel="0" collapsed="false">
      <c r="A13" s="159" t="s">
        <v>320</v>
      </c>
      <c r="B13" s="160" t="n">
        <f aca="false">MAX(1,ROUNDUP(Volumi!C45*(1-Parametri!$B$16)*Parametri!$B$13/Parametri!$B$14,0))</f>
        <v>2</v>
      </c>
      <c r="C13" s="160" t="n">
        <f aca="false">MAX(1,ROUNDUP(Volumi!D45*(1-Parametri!$B$16)*Parametri!$B$13/Parametri!$B$14,0))</f>
        <v>2</v>
      </c>
      <c r="D13" s="160" t="n">
        <f aca="false">MAX(1,ROUNDUP(Volumi!E45*(1-Parametri!$B$16)*Parametri!$B$13/Parametri!$B$14,0))</f>
        <v>2</v>
      </c>
      <c r="E13" s="160" t="n">
        <f aca="false">MAX(1,ROUNDUP(Volumi!F45*(1-Parametri!$B$16)*Parametri!$B$13/Parametri!$B$14,0))</f>
        <v>2</v>
      </c>
      <c r="F13" s="160" t="n">
        <f aca="false">MAX(1,ROUNDUP(Volumi!G45*(1-Parametri!$B$16)*Parametri!$B$13/Parametri!$B$14,0))</f>
        <v>2</v>
      </c>
      <c r="G13" s="160" t="n">
        <f aca="false">MAX(1,ROUNDUP(Volumi!H45*(1-Parametri!$B$16)*Parametri!$B$13/Parametri!$B$14,0))</f>
        <v>2</v>
      </c>
      <c r="H13" s="160" t="n">
        <f aca="false">MAX(1,ROUNDUP(Volumi!I45*(1-Parametri!$B$16)*Parametri!$B$13/Parametri!$B$14,0))</f>
        <v>2</v>
      </c>
    </row>
    <row r="14" customFormat="false" ht="15" hidden="false" customHeight="true" outlineLevel="0" collapsed="false">
      <c r="A14" s="159" t="s">
        <v>321</v>
      </c>
      <c r="B14" s="160" t="n">
        <f aca="false">MAX(1,ROUNDUP(Volumi!C46*(1-Parametri!$B$16)*Parametri!$B$13/Parametri!$B$14,0))</f>
        <v>2</v>
      </c>
      <c r="C14" s="160" t="n">
        <f aca="false">MAX(1,ROUNDUP(Volumi!D46*(1-Parametri!$B$16)*Parametri!$B$13/Parametri!$B$14,0))</f>
        <v>2</v>
      </c>
      <c r="D14" s="160" t="n">
        <f aca="false">MAX(1,ROUNDUP(Volumi!E46*(1-Parametri!$B$16)*Parametri!$B$13/Parametri!$B$14,0))</f>
        <v>2</v>
      </c>
      <c r="E14" s="160" t="n">
        <f aca="false">MAX(1,ROUNDUP(Volumi!F46*(1-Parametri!$B$16)*Parametri!$B$13/Parametri!$B$14,0))</f>
        <v>2</v>
      </c>
      <c r="F14" s="160" t="n">
        <f aca="false">MAX(1,ROUNDUP(Volumi!G46*(1-Parametri!$B$16)*Parametri!$B$13/Parametri!$B$14,0))</f>
        <v>2</v>
      </c>
      <c r="G14" s="160" t="n">
        <f aca="false">MAX(1,ROUNDUP(Volumi!H46*(1-Parametri!$B$16)*Parametri!$B$13/Parametri!$B$14,0))</f>
        <v>3</v>
      </c>
      <c r="H14" s="160" t="n">
        <f aca="false">MAX(1,ROUNDUP(Volumi!I46*(1-Parametri!$B$16)*Parametri!$B$13/Parametri!$B$14,0))</f>
        <v>2</v>
      </c>
    </row>
    <row r="15" customFormat="false" ht="15" hidden="false" customHeight="true" outlineLevel="0" collapsed="false">
      <c r="A15" s="159" t="s">
        <v>322</v>
      </c>
      <c r="B15" s="160" t="n">
        <f aca="false">MAX(1,ROUNDUP(Volumi!C47*(1-Parametri!$B$16)*Parametri!$B$13/Parametri!$B$14,0))</f>
        <v>2</v>
      </c>
      <c r="C15" s="160" t="n">
        <f aca="false">MAX(1,ROUNDUP(Volumi!D47*(1-Parametri!$B$16)*Parametri!$B$13/Parametri!$B$14,0))</f>
        <v>2</v>
      </c>
      <c r="D15" s="160" t="n">
        <f aca="false">MAX(1,ROUNDUP(Volumi!E47*(1-Parametri!$B$16)*Parametri!$B$13/Parametri!$B$14,0))</f>
        <v>2</v>
      </c>
      <c r="E15" s="160" t="n">
        <f aca="false">MAX(1,ROUNDUP(Volumi!F47*(1-Parametri!$B$16)*Parametri!$B$13/Parametri!$B$14,0))</f>
        <v>2</v>
      </c>
      <c r="F15" s="160" t="n">
        <f aca="false">MAX(1,ROUNDUP(Volumi!G47*(1-Parametri!$B$16)*Parametri!$B$13/Parametri!$B$14,0))</f>
        <v>3</v>
      </c>
      <c r="G15" s="160" t="n">
        <f aca="false">MAX(1,ROUNDUP(Volumi!H47*(1-Parametri!$B$16)*Parametri!$B$13/Parametri!$B$14,0))</f>
        <v>3</v>
      </c>
      <c r="H15" s="160" t="n">
        <f aca="false">MAX(1,ROUNDUP(Volumi!I47*(1-Parametri!$B$16)*Parametri!$B$13/Parametri!$B$14,0))</f>
        <v>2</v>
      </c>
    </row>
    <row r="16" customFormat="false" ht="15" hidden="false" customHeight="true" outlineLevel="0" collapsed="false">
      <c r="A16" s="159" t="s">
        <v>323</v>
      </c>
      <c r="B16" s="160" t="n">
        <f aca="false">MAX(1,ROUNDUP(Volumi!C48*(1-Parametri!$B$16)*Parametri!$B$13/Parametri!$B$14,0))</f>
        <v>3</v>
      </c>
      <c r="C16" s="160" t="n">
        <f aca="false">MAX(1,ROUNDUP(Volumi!D48*(1-Parametri!$B$16)*Parametri!$B$13/Parametri!$B$14,0))</f>
        <v>2</v>
      </c>
      <c r="D16" s="160" t="n">
        <f aca="false">MAX(1,ROUNDUP(Volumi!E48*(1-Parametri!$B$16)*Parametri!$B$13/Parametri!$B$14,0))</f>
        <v>2</v>
      </c>
      <c r="E16" s="160" t="n">
        <f aca="false">MAX(1,ROUNDUP(Volumi!F48*(1-Parametri!$B$16)*Parametri!$B$13/Parametri!$B$14,0))</f>
        <v>3</v>
      </c>
      <c r="F16" s="160" t="n">
        <f aca="false">MAX(1,ROUNDUP(Volumi!G48*(1-Parametri!$B$16)*Parametri!$B$13/Parametri!$B$14,0))</f>
        <v>3</v>
      </c>
      <c r="G16" s="160" t="n">
        <f aca="false">MAX(1,ROUNDUP(Volumi!H48*(1-Parametri!$B$16)*Parametri!$B$13/Parametri!$B$14,0))</f>
        <v>3</v>
      </c>
      <c r="H16" s="160" t="n">
        <f aca="false">MAX(1,ROUNDUP(Volumi!I48*(1-Parametri!$B$16)*Parametri!$B$13/Parametri!$B$14,0))</f>
        <v>2</v>
      </c>
    </row>
    <row r="17" customFormat="false" ht="15" hidden="false" customHeight="true" outlineLevel="0" collapsed="false">
      <c r="A17" s="159" t="s">
        <v>324</v>
      </c>
      <c r="B17" s="160" t="n">
        <f aca="false">MAX(1,ROUNDUP(Volumi!C49*(1-Parametri!$B$16)*Parametri!$B$13/Parametri!$B$14,0))</f>
        <v>2</v>
      </c>
      <c r="C17" s="160" t="n">
        <f aca="false">MAX(1,ROUNDUP(Volumi!D49*(1-Parametri!$B$16)*Parametri!$B$13/Parametri!$B$14,0))</f>
        <v>2</v>
      </c>
      <c r="D17" s="160" t="n">
        <f aca="false">MAX(1,ROUNDUP(Volumi!E49*(1-Parametri!$B$16)*Parametri!$B$13/Parametri!$B$14,0))</f>
        <v>2</v>
      </c>
      <c r="E17" s="160" t="n">
        <f aca="false">MAX(1,ROUNDUP(Volumi!F49*(1-Parametri!$B$16)*Parametri!$B$13/Parametri!$B$14,0))</f>
        <v>2</v>
      </c>
      <c r="F17" s="160" t="n">
        <f aca="false">MAX(1,ROUNDUP(Volumi!G49*(1-Parametri!$B$16)*Parametri!$B$13/Parametri!$B$14,0))</f>
        <v>2</v>
      </c>
      <c r="G17" s="160" t="n">
        <f aca="false">MAX(1,ROUNDUP(Volumi!H49*(1-Parametri!$B$16)*Parametri!$B$13/Parametri!$B$14,0))</f>
        <v>3</v>
      </c>
      <c r="H17" s="160" t="n">
        <f aca="false">MAX(1,ROUNDUP(Volumi!I49*(1-Parametri!$B$16)*Parametri!$B$13/Parametri!$B$14,0))</f>
        <v>2</v>
      </c>
    </row>
    <row r="18" customFormat="false" ht="15" hidden="false" customHeight="true" outlineLevel="0" collapsed="false">
      <c r="A18" s="159" t="s">
        <v>325</v>
      </c>
      <c r="B18" s="160" t="n">
        <f aca="false">MAX(1,ROUNDUP(Volumi!C50*(1-Parametri!$B$16)*Parametri!$B$13/Parametri!$B$14,0))</f>
        <v>1</v>
      </c>
      <c r="C18" s="160" t="n">
        <f aca="false">MAX(1,ROUNDUP(Volumi!D50*(1-Parametri!$B$16)*Parametri!$B$13/Parametri!$B$14,0))</f>
        <v>1</v>
      </c>
      <c r="D18" s="160" t="n">
        <f aca="false">MAX(1,ROUNDUP(Volumi!E50*(1-Parametri!$B$16)*Parametri!$B$13/Parametri!$B$14,0))</f>
        <v>1</v>
      </c>
      <c r="E18" s="160" t="n">
        <f aca="false">MAX(1,ROUNDUP(Volumi!F50*(1-Parametri!$B$16)*Parametri!$B$13/Parametri!$B$14,0))</f>
        <v>1</v>
      </c>
      <c r="F18" s="160" t="n">
        <f aca="false">MAX(1,ROUNDUP(Volumi!G50*(1-Parametri!$B$16)*Parametri!$B$13/Parametri!$B$14,0))</f>
        <v>1</v>
      </c>
      <c r="G18" s="160" t="n">
        <f aca="false">MAX(1,ROUNDUP(Volumi!H50*(1-Parametri!$B$16)*Parametri!$B$13/Parametri!$B$14,0))</f>
        <v>2</v>
      </c>
      <c r="H18" s="160" t="n">
        <f aca="false">MAX(1,ROUNDUP(Volumi!I50*(1-Parametri!$B$16)*Parametri!$B$13/Parametri!$B$14,0))</f>
        <v>1</v>
      </c>
    </row>
    <row r="19" customFormat="false" ht="15" hidden="false" customHeight="true" outlineLevel="0" collapsed="false">
      <c r="A19" s="67" t="s">
        <v>330</v>
      </c>
      <c r="B19" s="97" t="n">
        <f aca="false">SUM(B6:B18)</f>
        <v>27</v>
      </c>
      <c r="C19" s="97" t="n">
        <f aca="false">SUM(C6:C18)</f>
        <v>24</v>
      </c>
      <c r="D19" s="97" t="n">
        <f aca="false">SUM(D6:D18)</f>
        <v>24</v>
      </c>
      <c r="E19" s="97" t="n">
        <f aca="false">SUM(E6:E18)</f>
        <v>27</v>
      </c>
      <c r="F19" s="97" t="n">
        <f aca="false">SUM(F6:F18)</f>
        <v>29</v>
      </c>
      <c r="G19" s="97" t="n">
        <f aca="false">SUM(G6:G18)</f>
        <v>35</v>
      </c>
      <c r="H19" s="97" t="n">
        <f aca="false">SUM(H6:H18)</f>
        <v>24</v>
      </c>
      <c r="I19" s="97" t="n">
        <f aca="false">SUM(B19:H19)</f>
        <v>190</v>
      </c>
    </row>
    <row r="20" customFormat="false" ht="15" hidden="false" customHeight="true" outlineLevel="0" collapsed="false">
      <c r="A20" s="123" t="s">
        <v>331</v>
      </c>
      <c r="B20" s="161" t="n">
        <f aca="false">MAX(B6:B18)</f>
        <v>3</v>
      </c>
      <c r="C20" s="161" t="n">
        <f aca="false">MAX(C6:C18)</f>
        <v>2</v>
      </c>
      <c r="D20" s="161" t="n">
        <f aca="false">MAX(D6:D18)</f>
        <v>2</v>
      </c>
      <c r="E20" s="161" t="n">
        <f aca="false">MAX(E6:E18)</f>
        <v>3</v>
      </c>
      <c r="F20" s="161" t="n">
        <f aca="false">MAX(F6:F18)</f>
        <v>3</v>
      </c>
      <c r="G20" s="161" t="n">
        <f aca="false">MAX(G6:G18)</f>
        <v>3</v>
      </c>
      <c r="H20" s="161" t="n">
        <f aca="false">MAX(H6:H18)</f>
        <v>2</v>
      </c>
      <c r="I20" s="161" t="n">
        <f aca="false">MAX(B20:H20)</f>
        <v>3</v>
      </c>
    </row>
    <row r="21" customFormat="false" ht="15" hidden="false" customHeight="true" outlineLevel="0" collapsed="false">
      <c r="A21" s="100" t="s">
        <v>332</v>
      </c>
      <c r="B21" s="103" t="str">
        <f aca="false">IF(B20&lt;=Parametri!$B$18,"OK","OLTRE")</f>
        <v>OK</v>
      </c>
      <c r="C21" s="103" t="str">
        <f aca="false">IF(C20&lt;=Parametri!$B$18,"OK","OLTRE")</f>
        <v>OK</v>
      </c>
      <c r="D21" s="103" t="str">
        <f aca="false">IF(D20&lt;=Parametri!$B$18,"OK","OLTRE")</f>
        <v>OK</v>
      </c>
      <c r="E21" s="103" t="str">
        <f aca="false">IF(E20&lt;=Parametri!$B$18,"OK","OLTRE")</f>
        <v>OK</v>
      </c>
      <c r="F21" s="103" t="str">
        <f aca="false">IF(F20&lt;=Parametri!$B$18,"OK","OLTRE")</f>
        <v>OK</v>
      </c>
      <c r="G21" s="103" t="str">
        <f aca="false">IF(G20&lt;=Parametri!$B$18,"OK","OLTRE")</f>
        <v>OK</v>
      </c>
      <c r="H21" s="103" t="str">
        <f aca="false">IF(H20&lt;=Parametri!$B$18,"OK","OLTRE")</f>
        <v>OK</v>
      </c>
    </row>
    <row r="23" customFormat="false" ht="19.5" hidden="false" customHeight="true" outlineLevel="0" collapsed="false">
      <c r="A23" s="162" t="s">
        <v>333</v>
      </c>
      <c r="B23" s="162"/>
      <c r="C23" s="162"/>
      <c r="D23" s="162"/>
      <c r="E23" s="162"/>
      <c r="F23" s="162"/>
      <c r="G23" s="162"/>
      <c r="H23" s="162"/>
      <c r="I23" s="162"/>
    </row>
    <row r="24" customFormat="false" ht="15" hidden="false" customHeight="true" outlineLevel="0" collapsed="false">
      <c r="A24" s="100" t="s">
        <v>334</v>
      </c>
      <c r="B24" s="87" t="n">
        <v>10</v>
      </c>
      <c r="C24" s="87" t="n">
        <v>9</v>
      </c>
      <c r="D24" s="87" t="n">
        <v>9</v>
      </c>
      <c r="E24" s="87" t="n">
        <v>10</v>
      </c>
      <c r="F24" s="87" t="n">
        <v>10</v>
      </c>
      <c r="G24" s="87" t="n">
        <v>10</v>
      </c>
      <c r="H24" s="87" t="n">
        <v>10</v>
      </c>
      <c r="I24" s="122" t="n">
        <f aca="false">SUM(B24:H24)</f>
        <v>68</v>
      </c>
    </row>
    <row r="25" customFormat="false" ht="15" hidden="false" customHeight="true" outlineLevel="0" collapsed="false">
      <c r="A25" s="100" t="s">
        <v>335</v>
      </c>
      <c r="B25" s="89" t="n">
        <f aca="false">B24*Parametri!$B$17</f>
        <v>10</v>
      </c>
      <c r="C25" s="89" t="n">
        <f aca="false">C24*Parametri!$B$17</f>
        <v>9</v>
      </c>
      <c r="D25" s="89" t="n">
        <f aca="false">D24*Parametri!$B$17</f>
        <v>9</v>
      </c>
      <c r="E25" s="89" t="n">
        <f aca="false">E24*Parametri!$B$17</f>
        <v>10</v>
      </c>
      <c r="F25" s="89" t="n">
        <f aca="false">F24*Parametri!$B$17</f>
        <v>10</v>
      </c>
      <c r="G25" s="89" t="n">
        <f aca="false">G24*Parametri!$B$17</f>
        <v>10</v>
      </c>
      <c r="H25" s="89" t="n">
        <f aca="false">H24*Parametri!$B$17</f>
        <v>10</v>
      </c>
      <c r="I25" s="122" t="n">
        <f aca="false">SUM(B25:H25)</f>
        <v>68</v>
      </c>
    </row>
    <row r="27" customFormat="false" ht="15" hidden="false" customHeight="true" outlineLevel="0" collapsed="false">
      <c r="A27" s="67" t="s">
        <v>336</v>
      </c>
      <c r="B27" s="97" t="n">
        <f aca="false">B19+B25</f>
        <v>37</v>
      </c>
      <c r="C27" s="97" t="n">
        <f aca="false">C19+C25</f>
        <v>33</v>
      </c>
      <c r="D27" s="97" t="n">
        <f aca="false">D19+D25</f>
        <v>33</v>
      </c>
      <c r="E27" s="97" t="n">
        <f aca="false">E19+E25</f>
        <v>37</v>
      </c>
      <c r="F27" s="97" t="n">
        <f aca="false">F19+F25</f>
        <v>39</v>
      </c>
      <c r="G27" s="97" t="n">
        <f aca="false">G19+G25</f>
        <v>45</v>
      </c>
      <c r="H27" s="97" t="n">
        <f aca="false">H19+H25</f>
        <v>34</v>
      </c>
      <c r="I27" s="97" t="n">
        <f aca="false">SUM(B27:H27)</f>
        <v>258</v>
      </c>
    </row>
  </sheetData>
  <mergeCells count="2">
    <mergeCell ref="A1:I1"/>
    <mergeCell ref="A23:I23"/>
  </mergeCells>
  <conditionalFormatting sqref="B6:H18">
    <cfRule type="colorScale" priority="2">
      <colorScale>
        <cfvo type="num" val="1"/>
        <cfvo type="num" val="3"/>
        <cfvo type="num" val="5"/>
        <color rgb="FFFFFFFF"/>
        <color rgb="FF9DC3EE"/>
        <color rgb="FF2E75C8"/>
      </colorScale>
    </cfRule>
  </conditionalFormatting>
  <conditionalFormatting sqref="B21:H21">
    <cfRule type="expression" priority="3" aboveAverage="0" equalAverage="0" bottom="0" percent="0" rank="0" text="" dxfId="4">
      <formula>OR(ISNUMBER(SEARCH("IN LINEA",B21)),ISNUMBER(SEARCH("OK",B21)))</formula>
    </cfRule>
    <cfRule type="expression" priority="4" aboveAverage="0" equalAverage="0" bottom="0" percent="0" rank="0" text="" dxfId="4">
      <formula>ISNUMBER(SEARCH("SOTTO",B21))</formula>
    </cfRule>
    <cfRule type="expression" priority="5" aboveAverage="0" equalAverage="0" bottom="0" percent="0" rank="0" text="" dxfId="4">
      <formula>OR(ISNUMBER(SEARCH("SOPRA",B21)),ISNUMBER(SEARCH("OLTRE",B21)),ISNUMBER(SEARCH("KO",B21)),ISNUMBER(SEARCH("NO RESP",B21)),ISNUMBER(SEARCH("ANOMAL",B21)))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E34"/>
    <pageSetUpPr fitToPage="tru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4" activeCellId="0" sqref="B4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9" min="2" style="1" width="9.53"/>
    <col collapsed="false" customWidth="true" hidden="false" outlineLevel="0" max="1025" min="10" style="1" width="8.67"/>
  </cols>
  <sheetData>
    <row r="1" customFormat="false" ht="25.5" hidden="false" customHeight="true" outlineLevel="0" collapsed="false">
      <c r="A1" s="82" t="s">
        <v>337</v>
      </c>
      <c r="B1" s="82"/>
      <c r="C1" s="82"/>
      <c r="D1" s="82"/>
      <c r="E1" s="82"/>
      <c r="F1" s="82"/>
      <c r="G1" s="82"/>
      <c r="H1" s="82"/>
      <c r="I1" s="82"/>
    </row>
    <row r="2" customFormat="false" ht="15" hidden="false" customHeight="true" outlineLevel="0" collapsed="false">
      <c r="A2" s="38" t="s">
        <v>338</v>
      </c>
    </row>
    <row r="3" customFormat="false" ht="15" hidden="false" customHeight="true" outlineLevel="0" collapsed="false">
      <c r="A3" s="48" t="s">
        <v>73</v>
      </c>
      <c r="B3" s="48" t="s">
        <v>8</v>
      </c>
      <c r="C3" s="48" t="s">
        <v>9</v>
      </c>
      <c r="D3" s="48" t="s">
        <v>10</v>
      </c>
      <c r="E3" s="48" t="s">
        <v>11</v>
      </c>
      <c r="F3" s="48" t="s">
        <v>12</v>
      </c>
      <c r="G3" s="48" t="s">
        <v>13</v>
      </c>
      <c r="H3" s="48" t="s">
        <v>14</v>
      </c>
      <c r="I3" s="48" t="s">
        <v>142</v>
      </c>
    </row>
    <row r="4" customFormat="false" ht="13.5" hidden="false" customHeight="true" outlineLevel="0" collapsed="false">
      <c r="A4" s="100" t="s">
        <v>266</v>
      </c>
      <c r="B4" s="145" t="n">
        <v>1.5</v>
      </c>
      <c r="C4" s="145" t="n">
        <v>1.5</v>
      </c>
      <c r="D4" s="145" t="n">
        <v>1.5</v>
      </c>
      <c r="E4" s="145" t="n">
        <v>1.5</v>
      </c>
      <c r="F4" s="145" t="n">
        <v>1.5</v>
      </c>
      <c r="G4" s="145" t="n">
        <v>1.5</v>
      </c>
      <c r="H4" s="145" t="n">
        <v>1.5</v>
      </c>
      <c r="I4" s="88" t="n">
        <f aca="false">SUM(B4:H4)</f>
        <v>10.5</v>
      </c>
    </row>
    <row r="5" customFormat="false" ht="15" hidden="false" customHeight="true" outlineLevel="0" collapsed="false">
      <c r="A5" s="121" t="s">
        <v>339</v>
      </c>
      <c r="B5" s="76" t="n">
        <f aca="false">Volumi!B26*Parametri!$F$22/60</f>
        <v>4.03693333333333</v>
      </c>
      <c r="C5" s="76" t="n">
        <f aca="false">Volumi!C26*Parametri!$F$22/60</f>
        <v>3.7128</v>
      </c>
      <c r="D5" s="76" t="n">
        <f aca="false">Volumi!D26*Parametri!$F$22/60</f>
        <v>3.65386666666667</v>
      </c>
      <c r="E5" s="76" t="n">
        <f aca="false">Volumi!E26*Parametri!$F$22/60</f>
        <v>3.978</v>
      </c>
      <c r="F5" s="76" t="n">
        <f aca="false">Volumi!F26*Parametri!$F$22/60</f>
        <v>4.42</v>
      </c>
      <c r="G5" s="76" t="n">
        <f aca="false">Volumi!G26*Parametri!$F$22/60</f>
        <v>5.8344</v>
      </c>
      <c r="H5" s="76" t="n">
        <f aca="false">Volumi!H26*Parametri!$F$22/60</f>
        <v>3.83066666666667</v>
      </c>
      <c r="I5" s="88" t="n">
        <f aca="false">SUM(B5:H5)</f>
        <v>29.4666666666667</v>
      </c>
    </row>
    <row r="6" customFormat="false" ht="15" hidden="false" customHeight="true" outlineLevel="0" collapsed="false">
      <c r="A6" s="100" t="s">
        <v>340</v>
      </c>
      <c r="B6" s="145" t="n">
        <f aca="false">Volumi!B27*Parametri!$F$23/60</f>
        <v>6.67646666666667</v>
      </c>
      <c r="C6" s="145" t="n">
        <f aca="false">Volumi!C27*Parametri!$F$23/60</f>
        <v>6.1404</v>
      </c>
      <c r="D6" s="145" t="n">
        <f aca="false">Volumi!D27*Parametri!$F$23/60</f>
        <v>6.04293333333333</v>
      </c>
      <c r="E6" s="145" t="n">
        <f aca="false">Volumi!E27*Parametri!$F$23/60</f>
        <v>6.579</v>
      </c>
      <c r="F6" s="145" t="n">
        <f aca="false">Volumi!F27*Parametri!$F$23/60</f>
        <v>7.31</v>
      </c>
      <c r="G6" s="145" t="n">
        <f aca="false">Volumi!G27*Parametri!$F$23/60</f>
        <v>9.6492</v>
      </c>
      <c r="H6" s="145" t="n">
        <f aca="false">Volumi!H27*Parametri!$F$23/60</f>
        <v>6.33533333333334</v>
      </c>
      <c r="I6" s="88" t="n">
        <f aca="false">SUM(B6:H6)</f>
        <v>48.7333333333333</v>
      </c>
    </row>
    <row r="7" customFormat="false" ht="15" hidden="false" customHeight="true" outlineLevel="0" collapsed="false">
      <c r="A7" s="121" t="s">
        <v>341</v>
      </c>
      <c r="B7" s="76" t="n">
        <f aca="false">Volumi!B28*Parametri!$F$24/60</f>
        <v>1.16070459259259</v>
      </c>
      <c r="C7" s="76" t="n">
        <f aca="false">Volumi!C28*Parametri!$F$24/60</f>
        <v>1.06750933333333</v>
      </c>
      <c r="D7" s="76" t="n">
        <f aca="false">Volumi!D28*Parametri!$F$24/60</f>
        <v>1.05056474074074</v>
      </c>
      <c r="E7" s="76" t="n">
        <f aca="false">Volumi!E28*Parametri!$F$24/60</f>
        <v>1.14376</v>
      </c>
      <c r="F7" s="76" t="n">
        <f aca="false">Volumi!F28*Parametri!$F$24/60</f>
        <v>1.27084444444444</v>
      </c>
      <c r="G7" s="76" t="n">
        <f aca="false">Volumi!G28*Parametri!$F$24/60</f>
        <v>1.67751466666667</v>
      </c>
      <c r="H7" s="76" t="n">
        <f aca="false">Volumi!H28*Parametri!$F$24/60</f>
        <v>1.10139851851852</v>
      </c>
      <c r="I7" s="88" t="n">
        <f aca="false">SUM(B7:H7)</f>
        <v>8.4722962962963</v>
      </c>
    </row>
    <row r="8" customFormat="false" ht="15" hidden="false" customHeight="true" outlineLevel="0" collapsed="false">
      <c r="A8" s="100" t="s">
        <v>342</v>
      </c>
      <c r="B8" s="145" t="n">
        <f aca="false">Volumi!B29*Parametri!$F$25/60</f>
        <v>6.77127551622419</v>
      </c>
      <c r="C8" s="145" t="n">
        <f aca="false">Volumi!C29*Parametri!$F$25/60</f>
        <v>6.22759646017699</v>
      </c>
      <c r="D8" s="145" t="n">
        <f aca="false">Volumi!D29*Parametri!$F$25/60</f>
        <v>6.12874572271386</v>
      </c>
      <c r="E8" s="145" t="n">
        <f aca="false">Volumi!E29*Parametri!$F$25/60</f>
        <v>6.67242477876106</v>
      </c>
      <c r="F8" s="145" t="n">
        <f aca="false">Volumi!F29*Parametri!$F$25/60</f>
        <v>7.41380530973451</v>
      </c>
      <c r="G8" s="145" t="n">
        <f aca="false">Volumi!G29*Parametri!$F$25/60</f>
        <v>9.78622300884956</v>
      </c>
      <c r="H8" s="145" t="n">
        <f aca="false">Volumi!H29*Parametri!$F$25/60</f>
        <v>6.42529793510325</v>
      </c>
      <c r="I8" s="88" t="n">
        <f aca="false">SUM(B8:H8)</f>
        <v>49.4253687315634</v>
      </c>
    </row>
    <row r="9" customFormat="false" ht="15" hidden="false" customHeight="true" outlineLevel="0" collapsed="false">
      <c r="A9" s="121" t="s">
        <v>343</v>
      </c>
      <c r="B9" s="76" t="n">
        <f aca="false">Volumi!B30*Parametri!$F$26/60</f>
        <v>1.39820373333333</v>
      </c>
      <c r="C9" s="76" t="n">
        <f aca="false">Volumi!C30*Parametri!$F$26/60</f>
        <v>1.2859392</v>
      </c>
      <c r="D9" s="76" t="n">
        <f aca="false">Volumi!D30*Parametri!$F$26/60</f>
        <v>1.26552746666667</v>
      </c>
      <c r="E9" s="76" t="n">
        <f aca="false">Volumi!E30*Parametri!$F$26/60</f>
        <v>1.377792</v>
      </c>
      <c r="F9" s="76" t="n">
        <f aca="false">Volumi!F30*Parametri!$F$26/60</f>
        <v>1.53088</v>
      </c>
      <c r="G9" s="76" t="n">
        <f aca="false">Volumi!G30*Parametri!$F$26/60</f>
        <v>2.0207616</v>
      </c>
      <c r="H9" s="76" t="n">
        <f aca="false">Volumi!H30*Parametri!$F$26/60</f>
        <v>1.32676266666667</v>
      </c>
      <c r="I9" s="88" t="n">
        <f aca="false">SUM(B9:H9)</f>
        <v>10.2058666666667</v>
      </c>
    </row>
    <row r="10" customFormat="false" ht="15" hidden="false" customHeight="true" outlineLevel="0" collapsed="false">
      <c r="A10" s="100" t="s">
        <v>344</v>
      </c>
      <c r="B10" s="145" t="n">
        <f aca="false">Volumi!B31*Parametri!$F$27/60</f>
        <v>3.1623272328134</v>
      </c>
      <c r="C10" s="145" t="n">
        <f aca="false">Volumi!C31*Parametri!$F$27/60</f>
        <v>2.90841774696707</v>
      </c>
      <c r="D10" s="145" t="n">
        <f aca="false">Volumi!D31*Parametri!$F$27/60</f>
        <v>2.8622523859041</v>
      </c>
      <c r="E10" s="145" t="n">
        <f aca="false">Volumi!E31*Parametri!$F$27/60</f>
        <v>3.11616187175043</v>
      </c>
      <c r="F10" s="145" t="n">
        <f aca="false">Volumi!F31*Parametri!$F$27/60</f>
        <v>3.4624020797227</v>
      </c>
      <c r="G10" s="145" t="n">
        <f aca="false">Volumi!G31*Parametri!$F$27/60</f>
        <v>4.57037074523397</v>
      </c>
      <c r="H10" s="145" t="n">
        <f aca="false">Volumi!H31*Parametri!$F$27/60</f>
        <v>3.00074846909301</v>
      </c>
      <c r="I10" s="88" t="n">
        <f aca="false">SUM(B10:H10)</f>
        <v>23.0826805314847</v>
      </c>
    </row>
    <row r="11" customFormat="false" ht="15" hidden="false" customHeight="true" outlineLevel="0" collapsed="false">
      <c r="A11" s="121" t="s">
        <v>345</v>
      </c>
      <c r="B11" s="76" t="n">
        <f aca="false">Volumi!B32*Parametri!$F$28/60</f>
        <v>0.515170506912442</v>
      </c>
      <c r="C11" s="76" t="n">
        <f aca="false">Volumi!C32*Parametri!$F$28/60</f>
        <v>0.473806451612903</v>
      </c>
      <c r="D11" s="76" t="n">
        <f aca="false">Volumi!D32*Parametri!$F$28/60</f>
        <v>0.466285714285714</v>
      </c>
      <c r="E11" s="76" t="n">
        <f aca="false">Volumi!E32*Parametri!$F$28/60</f>
        <v>0.507649769585253</v>
      </c>
      <c r="F11" s="76" t="n">
        <f aca="false">Volumi!F32*Parametri!$F$28/60</f>
        <v>0.56405529953917</v>
      </c>
      <c r="G11" s="76" t="n">
        <f aca="false">Volumi!G32*Parametri!$F$28/60</f>
        <v>0.744552995391705</v>
      </c>
      <c r="H11" s="76" t="n">
        <f aca="false">Volumi!H32*Parametri!$F$28/60</f>
        <v>0.488847926267281</v>
      </c>
      <c r="I11" s="88" t="n">
        <f aca="false">SUM(B11:H11)</f>
        <v>3.76036866359447</v>
      </c>
    </row>
    <row r="12" customFormat="false" ht="15" hidden="false" customHeight="true" outlineLevel="0" collapsed="false">
      <c r="A12" s="100" t="s">
        <v>346</v>
      </c>
      <c r="B12" s="145" t="n">
        <f aca="false">Volumi!B33*Parametri!$F$29/60</f>
        <v>1.31787317073171</v>
      </c>
      <c r="C12" s="145" t="n">
        <f aca="false">Volumi!C33*Parametri!$F$29/60</f>
        <v>1.21205853658537</v>
      </c>
      <c r="D12" s="145" t="n">
        <f aca="false">Volumi!D33*Parametri!$F$29/60</f>
        <v>1.19281951219512</v>
      </c>
      <c r="E12" s="145" t="n">
        <f aca="false">Volumi!E33*Parametri!$F$29/60</f>
        <v>1.29863414634146</v>
      </c>
      <c r="F12" s="145" t="n">
        <f aca="false">Volumi!F33*Parametri!$F$29/60</f>
        <v>1.44292682926829</v>
      </c>
      <c r="G12" s="145" t="n">
        <f aca="false">Volumi!G33*Parametri!$F$29/60</f>
        <v>1.90466341463415</v>
      </c>
      <c r="H12" s="145" t="n">
        <f aca="false">Volumi!H33*Parametri!$F$29/60</f>
        <v>1.25053658536585</v>
      </c>
      <c r="I12" s="88" t="n">
        <f aca="false">SUM(B12:H12)</f>
        <v>9.61951219512195</v>
      </c>
    </row>
    <row r="13" customFormat="false" ht="15" hidden="false" customHeight="true" outlineLevel="0" collapsed="false">
      <c r="A13" s="123" t="s">
        <v>347</v>
      </c>
      <c r="B13" s="163" t="n">
        <f aca="false">Casse!B19</f>
        <v>27</v>
      </c>
      <c r="C13" s="163" t="n">
        <f aca="false">Casse!C19</f>
        <v>24</v>
      </c>
      <c r="D13" s="163" t="n">
        <f aca="false">Casse!D19</f>
        <v>24</v>
      </c>
      <c r="E13" s="163" t="n">
        <f aca="false">Casse!E19</f>
        <v>27</v>
      </c>
      <c r="F13" s="163" t="n">
        <f aca="false">Casse!F19</f>
        <v>29</v>
      </c>
      <c r="G13" s="163" t="n">
        <f aca="false">Casse!G19</f>
        <v>35</v>
      </c>
      <c r="H13" s="163" t="n">
        <f aca="false">Casse!H19</f>
        <v>24</v>
      </c>
      <c r="I13" s="88" t="n">
        <f aca="false">SUM(B13:H13)</f>
        <v>190</v>
      </c>
    </row>
    <row r="14" customFormat="false" ht="15" hidden="false" customHeight="true" outlineLevel="0" collapsed="false">
      <c r="A14" s="123" t="s">
        <v>348</v>
      </c>
      <c r="B14" s="163" t="n">
        <f aca="false">Casse!B25</f>
        <v>10</v>
      </c>
      <c r="C14" s="163" t="n">
        <f aca="false">Casse!C25</f>
        <v>9</v>
      </c>
      <c r="D14" s="163" t="n">
        <f aca="false">Casse!D25</f>
        <v>9</v>
      </c>
      <c r="E14" s="163" t="n">
        <f aca="false">Casse!E25</f>
        <v>10</v>
      </c>
      <c r="F14" s="163" t="n">
        <f aca="false">Casse!F25</f>
        <v>10</v>
      </c>
      <c r="G14" s="163" t="n">
        <f aca="false">Casse!G25</f>
        <v>10</v>
      </c>
      <c r="H14" s="163" t="n">
        <f aca="false">Casse!H25</f>
        <v>10</v>
      </c>
      <c r="I14" s="88" t="n">
        <f aca="false">SUM(B14:H14)</f>
        <v>68</v>
      </c>
    </row>
    <row r="15" customFormat="false" ht="15" hidden="false" customHeight="true" outlineLevel="0" collapsed="false">
      <c r="A15" s="100" t="s">
        <v>349</v>
      </c>
      <c r="B15" s="101" t="n">
        <f aca="false">Parametri!$B$44</f>
        <v>11.5</v>
      </c>
      <c r="C15" s="101" t="n">
        <f aca="false">Parametri!$B$44</f>
        <v>11.5</v>
      </c>
      <c r="D15" s="101" t="n">
        <f aca="false">Parametri!$B$44</f>
        <v>11.5</v>
      </c>
      <c r="E15" s="101" t="n">
        <f aca="false">Parametri!$B$44</f>
        <v>11.5</v>
      </c>
      <c r="F15" s="101" t="n">
        <f aca="false">Parametri!$B$44</f>
        <v>11.5</v>
      </c>
      <c r="G15" s="101" t="n">
        <f aca="false">Parametri!$B$44</f>
        <v>11.5</v>
      </c>
      <c r="H15" s="101" t="n">
        <f aca="false">Parametri!$B$44</f>
        <v>11.5</v>
      </c>
      <c r="I15" s="88" t="n">
        <f aca="false">SUM(B15:H15)</f>
        <v>80.5</v>
      </c>
    </row>
    <row r="16" customFormat="false" ht="15" hidden="false" customHeight="true" outlineLevel="0" collapsed="false">
      <c r="A16" s="121" t="s">
        <v>350</v>
      </c>
      <c r="B16" s="164" t="n">
        <f aca="false">SUMIFS(Parametri!$B$48:$B$51,Parametri!$C$48:$C$51,B$3)</f>
        <v>11</v>
      </c>
      <c r="C16" s="164" t="n">
        <f aca="false">SUMIFS(Parametri!$B$48:$B$51,Parametri!$C$48:$C$51,C$3)</f>
        <v>0</v>
      </c>
      <c r="D16" s="164" t="n">
        <f aca="false">SUMIFS(Parametri!$B$48:$B$51,Parametri!$C$48:$C$51,D$3)</f>
        <v>3</v>
      </c>
      <c r="E16" s="164" t="n">
        <f aca="false">SUMIFS(Parametri!$B$48:$B$51,Parametri!$C$48:$C$51,E$3)</f>
        <v>8</v>
      </c>
      <c r="F16" s="164" t="n">
        <f aca="false">SUMIFS(Parametri!$B$48:$B$51,Parametri!$C$48:$C$51,F$3)</f>
        <v>0</v>
      </c>
      <c r="G16" s="164" t="n">
        <f aca="false">SUMIFS(Parametri!$B$48:$B$51,Parametri!$C$48:$C$51,G$3)</f>
        <v>0</v>
      </c>
      <c r="H16" s="164" t="n">
        <f aca="false">SUMIFS(Parametri!$B$48:$B$51,Parametri!$C$48:$C$51,H$3)</f>
        <v>0</v>
      </c>
      <c r="I16" s="88" t="n">
        <f aca="false">SUM(B16:H16)</f>
        <v>22</v>
      </c>
    </row>
    <row r="17" customFormat="false" ht="15" hidden="false" customHeight="true" outlineLevel="0" collapsed="false">
      <c r="A17" s="67" t="s">
        <v>71</v>
      </c>
      <c r="B17" s="68" t="n">
        <f aca="false">SUM(B4:B16)</f>
        <v>86.0389547526077</v>
      </c>
      <c r="C17" s="68" t="n">
        <f aca="false">SUM(C4:C16)</f>
        <v>69.0285277286757</v>
      </c>
      <c r="D17" s="68" t="n">
        <f aca="false">SUM(D4:D16)</f>
        <v>71.6629955425062</v>
      </c>
      <c r="E17" s="68" t="n">
        <f aca="false">SUM(E4:E16)</f>
        <v>82.6734225664382</v>
      </c>
      <c r="F17" s="68" t="n">
        <f aca="false">SUM(F4:F16)</f>
        <v>79.4149139627091</v>
      </c>
      <c r="G17" s="68" t="n">
        <f aca="false">SUM(G4:G16)</f>
        <v>94.187686430776</v>
      </c>
      <c r="H17" s="68" t="n">
        <f aca="false">SUM(H4:H16)</f>
        <v>70.7595921010146</v>
      </c>
      <c r="I17" s="68" t="n">
        <f aca="false">SUM(B17:H17)</f>
        <v>553.766093084728</v>
      </c>
    </row>
  </sheetData>
  <mergeCells count="1">
    <mergeCell ref="A1:I1"/>
  </mergeCells>
  <conditionalFormatting sqref="I4:I16">
    <cfRule type="dataBar" priority="2">
      <dataBar showValue="1" minLength="10" maxLength="90">
        <cfvo type="num" val="0"/>
        <cfvo type="max" val="0"/>
        <color rgb="FF0050AA"/>
      </dataBar>
      <extLst>
        <ext xmlns:x14="http://schemas.microsoft.com/office/spreadsheetml/2009/9/main" uri="{B025F937-C7B1-47D3-B67F-A62EFF666E3E}">
          <x14:id>{7D5447B5-3A00-4A11-B641-F52AA1CFAE36}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5447B5-3A00-4A11-B641-F52AA1CFAE36}">
            <x14:dataBar minLength="10" maxLength="90" axisPosition="none" gradient="true">
              <x14:cfvo type="num">
                <xm:f>0</xm:f>
              </x14:cfvo>
              <x14:cfvo type="max"/>
              <x14:negativeFillColor rgb="FF0050AA"/>
              <x14:axisColor rgb="FF000000"/>
            </x14:dataBar>
          </x14:cfRule>
          <xm:sqref>I4:I16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7085"/>
    <pageSetUpPr fitToPage="tru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4" activeCellId="0" sqref="B4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9" min="2" style="1" width="9.53"/>
    <col collapsed="false" customWidth="true" hidden="false" outlineLevel="0" max="1025" min="10" style="1" width="8.67"/>
  </cols>
  <sheetData>
    <row r="1" customFormat="false" ht="25.5" hidden="false" customHeight="true" outlineLevel="0" collapsed="false">
      <c r="A1" s="82" t="s">
        <v>351</v>
      </c>
      <c r="B1" s="82"/>
      <c r="C1" s="82"/>
      <c r="D1" s="82"/>
      <c r="E1" s="82"/>
      <c r="F1" s="82"/>
      <c r="G1" s="82"/>
      <c r="H1" s="82"/>
      <c r="I1" s="82"/>
    </row>
    <row r="2" customFormat="false" ht="15" hidden="false" customHeight="true" outlineLevel="0" collapsed="false">
      <c r="A2" s="38" t="s">
        <v>352</v>
      </c>
    </row>
    <row r="3" customFormat="false" ht="15" hidden="false" customHeight="true" outlineLevel="0" collapsed="false">
      <c r="A3" s="48" t="s">
        <v>353</v>
      </c>
      <c r="B3" s="48" t="s">
        <v>8</v>
      </c>
      <c r="C3" s="48" t="s">
        <v>9</v>
      </c>
      <c r="D3" s="48" t="s">
        <v>10</v>
      </c>
      <c r="E3" s="48" t="s">
        <v>11</v>
      </c>
      <c r="F3" s="48" t="s">
        <v>12</v>
      </c>
      <c r="G3" s="48" t="s">
        <v>13</v>
      </c>
      <c r="H3" s="48" t="s">
        <v>14</v>
      </c>
      <c r="I3" s="48" t="s">
        <v>142</v>
      </c>
    </row>
    <row r="4" customFormat="false" ht="15" hidden="false" customHeight="true" outlineLevel="0" collapsed="false">
      <c r="A4" s="100" t="s">
        <v>354</v>
      </c>
      <c r="B4" s="101" t="n">
        <f aca="false">SUMIFS(Turni!H$5:H$27,Turni!F$5:F$27,"&lt;"&amp;9/24)</f>
        <v>38</v>
      </c>
      <c r="C4" s="101" t="n">
        <f aca="false">SUMIFS(Turni!K$5:K$27,Turni!I$5:I$27,"&lt;"&amp;9/24)</f>
        <v>28.5</v>
      </c>
      <c r="D4" s="101" t="n">
        <f aca="false">SUMIFS(Turni!N$5:N$27,Turni!L$5:L$27,"&lt;"&amp;9/24)</f>
        <v>34.5</v>
      </c>
      <c r="E4" s="101" t="n">
        <f aca="false">SUMIFS(Turni!Q$5:Q$27,Turni!O$5:O$27,"&lt;"&amp;9/24)</f>
        <v>35.5</v>
      </c>
      <c r="F4" s="101" t="n">
        <f aca="false">SUMIFS(Turni!T$5:T$27,Turni!R$5:R$27,"&lt;"&amp;9/24)</f>
        <v>34</v>
      </c>
      <c r="G4" s="101" t="n">
        <f aca="false">SUMIFS(Turni!W$5:W$27,Turni!U$5:U$27,"&lt;"&amp;9/24)</f>
        <v>38.5</v>
      </c>
      <c r="H4" s="101" t="n">
        <f aca="false">SUMIFS(Turni!Z$5:Z$27,Turni!X$5:X$27,"&lt;"&amp;9/24)</f>
        <v>37</v>
      </c>
      <c r="I4" s="88" t="n">
        <f aca="false">SUM(B4:H4)</f>
        <v>246</v>
      </c>
    </row>
    <row r="5" customFormat="false" ht="15" hidden="false" customHeight="true" outlineLevel="0" collapsed="false">
      <c r="A5" s="121" t="s">
        <v>355</v>
      </c>
      <c r="B5" s="164" t="n">
        <f aca="false">SUMIFS(Turni!H$5:H$27,Turni!F$5:F$27,"&gt;="&amp;9/24,Turni!F$5:F$27,"&lt;"&amp;13/24)</f>
        <v>16</v>
      </c>
      <c r="C5" s="164" t="n">
        <f aca="false">SUMIFS(Turni!K$5:K$27,Turni!I$5:I$27,"&gt;="&amp;9/24,Turni!I$5:I$27,"&lt;"&amp;13/24)</f>
        <v>16.5</v>
      </c>
      <c r="D5" s="164" t="n">
        <f aca="false">SUMIFS(Turni!N$5:N$27,Turni!L$5:L$27,"&gt;="&amp;9/24,Turni!L$5:L$27,"&lt;"&amp;13/24)</f>
        <v>11.5</v>
      </c>
      <c r="E5" s="164" t="n">
        <f aca="false">SUMIFS(Turni!Q$5:Q$27,Turni!O$5:O$27,"&gt;="&amp;9/24,Turni!O$5:O$27,"&lt;"&amp;13/24)</f>
        <v>14.5</v>
      </c>
      <c r="F5" s="164" t="n">
        <f aca="false">SUMIFS(Turni!T$5:T$27,Turni!R$5:R$27,"&gt;="&amp;9/24,Turni!R$5:R$27,"&lt;"&amp;13/24)</f>
        <v>19</v>
      </c>
      <c r="G5" s="164" t="n">
        <f aca="false">SUMIFS(Turni!W$5:W$27,Turni!U$5:U$27,"&gt;="&amp;9/24,Turni!U$5:U$27,"&lt;"&amp;13/24)</f>
        <v>26</v>
      </c>
      <c r="H5" s="164" t="n">
        <f aca="false">SUMIFS(Turni!Z$5:Z$27,Turni!X$5:X$27,"&gt;="&amp;9/24,Turni!X$5:X$27,"&lt;"&amp;13/24)</f>
        <v>5</v>
      </c>
      <c r="I5" s="95" t="n">
        <f aca="false">SUM(B5:H5)</f>
        <v>108.5</v>
      </c>
    </row>
    <row r="6" customFormat="false" ht="15" hidden="false" customHeight="true" outlineLevel="0" collapsed="false">
      <c r="A6" s="100" t="s">
        <v>356</v>
      </c>
      <c r="B6" s="101" t="n">
        <f aca="false">SUMIFS(Turni!H$5:H$27,Turni!F$5:F$27,"&gt;="&amp;13/24)</f>
        <v>32</v>
      </c>
      <c r="C6" s="101" t="n">
        <f aca="false">SUMIFS(Turni!K$5:K$27,Turni!I$5:I$27,"&gt;="&amp;13/24)</f>
        <v>24</v>
      </c>
      <c r="D6" s="101" t="n">
        <f aca="false">SUMIFS(Turni!N$5:N$27,Turni!L$5:L$27,"&gt;="&amp;13/24)</f>
        <v>25.5</v>
      </c>
      <c r="E6" s="101" t="n">
        <f aca="false">SUMIFS(Turni!Q$5:Q$27,Turni!O$5:O$27,"&gt;="&amp;13/24)</f>
        <v>32.5</v>
      </c>
      <c r="F6" s="101" t="n">
        <f aca="false">SUMIFS(Turni!T$5:T$27,Turni!R$5:R$27,"&gt;="&amp;13/24)</f>
        <v>26</v>
      </c>
      <c r="G6" s="101" t="n">
        <f aca="false">SUMIFS(Turni!W$5:W$27,Turni!U$5:U$27,"&gt;="&amp;13/24)</f>
        <v>29.5</v>
      </c>
      <c r="H6" s="101" t="n">
        <f aca="false">SUMIFS(Turni!Z$5:Z$27,Turni!X$5:X$27,"&gt;="&amp;13/24)</f>
        <v>28.5</v>
      </c>
      <c r="I6" s="88" t="n">
        <f aca="false">SUM(B6:H6)</f>
        <v>198</v>
      </c>
    </row>
    <row r="7" customFormat="false" ht="15" hidden="false" customHeight="true" outlineLevel="0" collapsed="false">
      <c r="A7" s="67" t="s">
        <v>71</v>
      </c>
      <c r="B7" s="68" t="n">
        <f aca="false">SUM(B4:B6)</f>
        <v>86</v>
      </c>
      <c r="C7" s="68" t="n">
        <f aca="false">SUM(C4:C6)</f>
        <v>69</v>
      </c>
      <c r="D7" s="68" t="n">
        <f aca="false">SUM(D4:D6)</f>
        <v>71.5</v>
      </c>
      <c r="E7" s="68" t="n">
        <f aca="false">SUM(E4:E6)</f>
        <v>82.5</v>
      </c>
      <c r="F7" s="68" t="n">
        <f aca="false">SUM(F4:F6)</f>
        <v>79</v>
      </c>
      <c r="G7" s="68" t="n">
        <f aca="false">SUM(G4:G6)</f>
        <v>94</v>
      </c>
      <c r="H7" s="68" t="n">
        <f aca="false">SUM(H4:H6)</f>
        <v>70.5</v>
      </c>
      <c r="I7" s="68" t="n">
        <f aca="false">SUM(I4:I6)</f>
        <v>552.5</v>
      </c>
    </row>
    <row r="9" customFormat="false" ht="15" hidden="false" customHeight="true" outlineLevel="0" collapsed="false">
      <c r="A9" s="38" t="s">
        <v>357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T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.67"/>
    <col collapsed="false" customWidth="true" hidden="false" outlineLevel="0" max="2" min="2" style="1" width="26"/>
    <col collapsed="false" customWidth="true" hidden="false" outlineLevel="0" max="4" min="3" style="1" width="11"/>
    <col collapsed="false" customWidth="true" hidden="false" outlineLevel="0" max="33" min="5" style="1" width="3.19"/>
    <col collapsed="false" customWidth="true" hidden="false" outlineLevel="0" max="34" min="34" style="1" width="8.67"/>
    <col collapsed="false" customWidth="true" hidden="false" outlineLevel="0" max="35" min="35" style="1" width="10"/>
    <col collapsed="false" customWidth="true" hidden="false" outlineLevel="0" max="39" min="36" style="1" width="8.67"/>
    <col collapsed="false" customWidth="true" hidden="false" outlineLevel="0" max="40" min="40" style="1" width="7"/>
    <col collapsed="false" customWidth="true" hidden="false" outlineLevel="0" max="43" min="41" style="1" width="8.67"/>
    <col collapsed="false" customWidth="true" hidden="false" outlineLevel="0" max="44" min="44" style="1" width="15"/>
    <col collapsed="false" customWidth="true" hidden="false" outlineLevel="0" max="1025" min="45" style="1" width="8.67"/>
  </cols>
  <sheetData>
    <row r="2" customFormat="false" ht="19.5" hidden="false" customHeight="true" outlineLevel="0" collapsed="false">
      <c r="B2" s="165" t="s">
        <v>358</v>
      </c>
    </row>
    <row r="3" customFormat="false" ht="15" hidden="false" customHeight="true" outlineLevel="0" collapsed="false">
      <c r="B3" s="166" t="s">
        <v>359</v>
      </c>
    </row>
    <row r="5" customFormat="false" ht="15.75" hidden="false" customHeight="true" outlineLevel="0" collapsed="false">
      <c r="B5" s="167" t="s">
        <v>360</v>
      </c>
    </row>
    <row r="6" customFormat="false" ht="15" hidden="false" customHeight="true" outlineLevel="0" collapsed="false">
      <c r="B6" s="166" t="s">
        <v>361</v>
      </c>
    </row>
    <row r="8" customFormat="false" ht="18" hidden="false" customHeight="true" outlineLevel="0" collapsed="false">
      <c r="B8" s="168" t="s">
        <v>362</v>
      </c>
      <c r="C8" s="169" t="n">
        <f aca="false">Copertura!$A$6</f>
        <v>0.229166666666667</v>
      </c>
      <c r="D8" s="169" t="n">
        <f aca="false">Copertura!$A$8</f>
        <v>0.25</v>
      </c>
      <c r="E8" s="169" t="n">
        <f aca="false">Copertura!$A$10</f>
        <v>0.270833333333333</v>
      </c>
      <c r="F8" s="169" t="n">
        <f aca="false">Copertura!$A$12</f>
        <v>0.291666666666667</v>
      </c>
      <c r="G8" s="169" t="n">
        <f aca="false">Copertura!$A$14</f>
        <v>0.3125</v>
      </c>
      <c r="H8" s="169" t="n">
        <f aca="false">Copertura!$A$16</f>
        <v>0.333333333333333</v>
      </c>
      <c r="I8" s="169" t="n">
        <f aca="false">Copertura!$A$18</f>
        <v>0.354166666666667</v>
      </c>
      <c r="J8" s="169" t="n">
        <f aca="false">Copertura!$A$20</f>
        <v>0.375</v>
      </c>
      <c r="K8" s="169" t="n">
        <f aca="false">Copertura!$A$22</f>
        <v>0.395833333333333</v>
      </c>
      <c r="L8" s="169" t="n">
        <f aca="false">Copertura!$A$24</f>
        <v>0.416666666666667</v>
      </c>
      <c r="M8" s="169" t="n">
        <f aca="false">Copertura!$A$26</f>
        <v>0.4375</v>
      </c>
      <c r="N8" s="169" t="n">
        <f aca="false">Copertura!$A$28</f>
        <v>0.458333333333333</v>
      </c>
      <c r="O8" s="169" t="n">
        <f aca="false">Copertura!$A$30</f>
        <v>0.479166666666667</v>
      </c>
      <c r="P8" s="169" t="n">
        <f aca="false">Copertura!$A$32</f>
        <v>0.5</v>
      </c>
      <c r="Q8" s="169" t="n">
        <f aca="false">Copertura!$A$34</f>
        <v>0.520833333333333</v>
      </c>
      <c r="R8" s="169" t="n">
        <f aca="false">Copertura!$A$36</f>
        <v>0.541666666666667</v>
      </c>
      <c r="S8" s="169" t="n">
        <f aca="false">Copertura!$A$38</f>
        <v>0.5625</v>
      </c>
      <c r="T8" s="169" t="n">
        <f aca="false">Copertura!$A$40</f>
        <v>0.583333333333333</v>
      </c>
      <c r="U8" s="169" t="n">
        <f aca="false">Copertura!$A$42</f>
        <v>0.604166666666667</v>
      </c>
      <c r="V8" s="169" t="n">
        <f aca="false">Copertura!$A$44</f>
        <v>0.625</v>
      </c>
      <c r="W8" s="169" t="n">
        <f aca="false">Copertura!$A$46</f>
        <v>0.645833333333333</v>
      </c>
      <c r="X8" s="169" t="n">
        <f aca="false">Copertura!$A$48</f>
        <v>0.666666666666667</v>
      </c>
      <c r="Y8" s="169" t="n">
        <f aca="false">Copertura!$A$50</f>
        <v>0.6875</v>
      </c>
      <c r="Z8" s="169" t="n">
        <f aca="false">Copertura!$A$52</f>
        <v>0.708333333333333</v>
      </c>
      <c r="AA8" s="169" t="n">
        <f aca="false">Copertura!$A$54</f>
        <v>0.729166666666667</v>
      </c>
      <c r="AB8" s="169" t="n">
        <f aca="false">Copertura!$A$56</f>
        <v>0.75</v>
      </c>
      <c r="AC8" s="169" t="n">
        <f aca="false">Copertura!$A$58</f>
        <v>0.770833333333333</v>
      </c>
      <c r="AD8" s="169" t="n">
        <f aca="false">Copertura!$A$60</f>
        <v>0.791666666666667</v>
      </c>
      <c r="AE8" s="169" t="n">
        <f aca="false">Copertura!$A$62</f>
        <v>0.8125</v>
      </c>
      <c r="AF8" s="169" t="n">
        <f aca="false">Copertura!$A$64</f>
        <v>0.833333333333333</v>
      </c>
      <c r="AG8" s="169" t="n">
        <f aca="false">Copertura!$A$66</f>
        <v>0.854166666666667</v>
      </c>
      <c r="AI8" s="170" t="s">
        <v>363</v>
      </c>
    </row>
    <row r="9" customFormat="false" ht="15" hidden="false" customHeight="true" outlineLevel="0" collapsed="false">
      <c r="B9" s="171" t="s">
        <v>8</v>
      </c>
      <c r="C9" s="172" t="n">
        <f aca="false">MAX(0,Copertura!$E$6-Copertura!$C$6,Copertura!$E$7-Copertura!$C$7)</f>
        <v>0</v>
      </c>
      <c r="D9" s="172" t="n">
        <f aca="false">MAX(0,Copertura!$E$8-Copertura!$C$8,Copertura!$E$9-Copertura!$C$9)</f>
        <v>0</v>
      </c>
      <c r="E9" s="172" t="n">
        <f aca="false">MAX(0,Copertura!$E$10-Copertura!$C$10,Copertura!$E$11-Copertura!$C$11)</f>
        <v>0</v>
      </c>
      <c r="F9" s="172" t="n">
        <f aca="false">MAX(0,Copertura!$E$12-Copertura!$C$12,Copertura!$E$13-Copertura!$C$13)</f>
        <v>0</v>
      </c>
      <c r="G9" s="172" t="n">
        <f aca="false">MAX(0,Copertura!$E$14-Copertura!$C$14,Copertura!$E$15-Copertura!$C$15)</f>
        <v>0</v>
      </c>
      <c r="H9" s="172" t="n">
        <f aca="false">MAX(0,Copertura!$E$16-Copertura!$C$16,Copertura!$E$17-Copertura!$C$17)</f>
        <v>0</v>
      </c>
      <c r="I9" s="172" t="n">
        <f aca="false">MAX(0,Copertura!$E$18-Copertura!$C$18,Copertura!$E$19-Copertura!$C$19)</f>
        <v>0</v>
      </c>
      <c r="J9" s="172" t="n">
        <f aca="false">MAX(0,Copertura!$E$20-Copertura!$C$20,Copertura!$E$21-Copertura!$C$21)</f>
        <v>0</v>
      </c>
      <c r="K9" s="172" t="n">
        <f aca="false">MAX(0,Copertura!$E$22-Copertura!$C$22,Copertura!$E$23-Copertura!$C$23)</f>
        <v>0</v>
      </c>
      <c r="L9" s="172" t="n">
        <f aca="false">MAX(0,Copertura!$E$24-Copertura!$C$24,Copertura!$E$25-Copertura!$C$25)</f>
        <v>0</v>
      </c>
      <c r="M9" s="172" t="n">
        <f aca="false">MAX(0,Copertura!$E$26-Copertura!$C$26,Copertura!$E$27-Copertura!$C$27)</f>
        <v>0</v>
      </c>
      <c r="N9" s="172" t="n">
        <f aca="false">MAX(0,Copertura!$E$28-Copertura!$C$28,Copertura!$E$29-Copertura!$C$29)</f>
        <v>0</v>
      </c>
      <c r="O9" s="172" t="n">
        <f aca="false">MAX(0,Copertura!$E$30-Copertura!$C$30,Copertura!$E$31-Copertura!$C$31)</f>
        <v>1</v>
      </c>
      <c r="P9" s="172" t="n">
        <f aca="false">MAX(0,Copertura!$E$32-Copertura!$C$32,Copertura!$E$33-Copertura!$C$33)</f>
        <v>0</v>
      </c>
      <c r="Q9" s="172" t="n">
        <f aca="false">MAX(0,Copertura!$E$34-Copertura!$C$34,Copertura!$E$35-Copertura!$C$35)</f>
        <v>0</v>
      </c>
      <c r="R9" s="172" t="n">
        <f aca="false">MAX(0,Copertura!$E$36-Copertura!$C$36,Copertura!$E$37-Copertura!$C$37)</f>
        <v>0</v>
      </c>
      <c r="S9" s="172" t="n">
        <f aca="false">MAX(0,Copertura!$E$38-Copertura!$C$38,Copertura!$E$39-Copertura!$C$39)</f>
        <v>0</v>
      </c>
      <c r="T9" s="172" t="n">
        <f aca="false">MAX(0,Copertura!$E$40-Copertura!$C$40,Copertura!$E$41-Copertura!$C$41)</f>
        <v>0</v>
      </c>
      <c r="U9" s="172" t="n">
        <f aca="false">MAX(0,Copertura!$E$42-Copertura!$C$42,Copertura!$E$43-Copertura!$C$43)</f>
        <v>0</v>
      </c>
      <c r="V9" s="172" t="n">
        <f aca="false">MAX(0,Copertura!$E$44-Copertura!$C$44,Copertura!$E$45-Copertura!$C$45)</f>
        <v>0</v>
      </c>
      <c r="W9" s="172" t="n">
        <f aca="false">MAX(0,Copertura!$E$46-Copertura!$C$46,Copertura!$E$47-Copertura!$C$47)</f>
        <v>0</v>
      </c>
      <c r="X9" s="172" t="n">
        <f aca="false">MAX(0,Copertura!$E$48-Copertura!$C$48,Copertura!$E$49-Copertura!$C$49)</f>
        <v>0</v>
      </c>
      <c r="Y9" s="172" t="n">
        <f aca="false">MAX(0,Copertura!$E$50-Copertura!$C$50,Copertura!$E$51-Copertura!$C$51)</f>
        <v>0</v>
      </c>
      <c r="Z9" s="172" t="n">
        <f aca="false">MAX(0,Copertura!$E$52-Copertura!$C$52,Copertura!$E$53-Copertura!$C$53)</f>
        <v>0</v>
      </c>
      <c r="AA9" s="172" t="n">
        <f aca="false">MAX(0,Copertura!$E$54-Copertura!$C$54,Copertura!$E$55-Copertura!$C$55)</f>
        <v>0</v>
      </c>
      <c r="AB9" s="172" t="n">
        <f aca="false">MAX(0,Copertura!$E$56-Copertura!$C$56,Copertura!$E$57-Copertura!$C$57)</f>
        <v>0</v>
      </c>
      <c r="AC9" s="172" t="n">
        <f aca="false">MAX(0,Copertura!$E$58-Copertura!$C$58,Copertura!$E$59-Copertura!$C$59)</f>
        <v>0</v>
      </c>
      <c r="AD9" s="172" t="n">
        <f aca="false">MAX(0,Copertura!$E$60-Copertura!$C$60,Copertura!$E$61-Copertura!$C$61)</f>
        <v>0</v>
      </c>
      <c r="AE9" s="172" t="n">
        <f aca="false">MAX(0,Copertura!$E$62-Copertura!$C$62,Copertura!$E$63-Copertura!$C$63)</f>
        <v>0</v>
      </c>
      <c r="AF9" s="172" t="n">
        <f aca="false">MAX(0,Copertura!$E$64-Copertura!$C$64,Copertura!$E$65-Copertura!$C$65)</f>
        <v>0</v>
      </c>
      <c r="AG9" s="172" t="n">
        <f aca="false">MAX(0,Copertura!$E$66-Copertura!$C$66,Copertura!$E$67-Copertura!$C$67)</f>
        <v>0</v>
      </c>
      <c r="AI9" s="173" t="n">
        <f aca="false">SUMPRODUCT(--(Copertura!$E$6:$E$68&gt;Copertura!$C$6:$C$68),(Copertura!$E$6:$E$68-Copertura!$C$6:$C$68))*0.25</f>
        <v>0.5</v>
      </c>
    </row>
    <row r="10" customFormat="false" ht="15" hidden="false" customHeight="true" outlineLevel="0" collapsed="false">
      <c r="B10" s="171" t="s">
        <v>9</v>
      </c>
      <c r="C10" s="172" t="n">
        <f aca="false">MAX(0,Copertura!$I$6-Copertura!$G$6,Copertura!$I$7-Copertura!$G$7)</f>
        <v>0</v>
      </c>
      <c r="D10" s="172" t="n">
        <f aca="false">MAX(0,Copertura!$I$8-Copertura!$G$8,Copertura!$I$9-Copertura!$G$9)</f>
        <v>0</v>
      </c>
      <c r="E10" s="172" t="n">
        <f aca="false">MAX(0,Copertura!$I$10-Copertura!$G$10,Copertura!$I$11-Copertura!$G$11)</f>
        <v>0</v>
      </c>
      <c r="F10" s="172" t="n">
        <f aca="false">MAX(0,Copertura!$I$12-Copertura!$G$12,Copertura!$I$13-Copertura!$G$13)</f>
        <v>0</v>
      </c>
      <c r="G10" s="172" t="n">
        <f aca="false">MAX(0,Copertura!$I$14-Copertura!$G$14,Copertura!$I$15-Copertura!$G$15)</f>
        <v>0</v>
      </c>
      <c r="H10" s="172" t="n">
        <f aca="false">MAX(0,Copertura!$I$16-Copertura!$G$16,Copertura!$I$17-Copertura!$G$17)</f>
        <v>0</v>
      </c>
      <c r="I10" s="172" t="n">
        <f aca="false">MAX(0,Copertura!$I$18-Copertura!$G$18,Copertura!$I$19-Copertura!$G$19)</f>
        <v>0</v>
      </c>
      <c r="J10" s="172" t="n">
        <f aca="false">MAX(0,Copertura!$I$20-Copertura!$G$20,Copertura!$I$21-Copertura!$G$21)</f>
        <v>0</v>
      </c>
      <c r="K10" s="172" t="n">
        <f aca="false">MAX(0,Copertura!$I$22-Copertura!$G$22,Copertura!$I$23-Copertura!$G$23)</f>
        <v>0</v>
      </c>
      <c r="L10" s="172" t="n">
        <f aca="false">MAX(0,Copertura!$I$24-Copertura!$G$24,Copertura!$I$25-Copertura!$G$25)</f>
        <v>0</v>
      </c>
      <c r="M10" s="172" t="n">
        <f aca="false">MAX(0,Copertura!$I$26-Copertura!$G$26,Copertura!$I$27-Copertura!$G$27)</f>
        <v>0</v>
      </c>
      <c r="N10" s="172" t="n">
        <f aca="false">MAX(0,Copertura!$I$28-Copertura!$G$28,Copertura!$I$29-Copertura!$G$29)</f>
        <v>0</v>
      </c>
      <c r="O10" s="172" t="n">
        <f aca="false">MAX(0,Copertura!$I$30-Copertura!$G$30,Copertura!$I$31-Copertura!$G$31)</f>
        <v>0</v>
      </c>
      <c r="P10" s="172" t="n">
        <f aca="false">MAX(0,Copertura!$I$32-Copertura!$G$32,Copertura!$I$33-Copertura!$G$33)</f>
        <v>0</v>
      </c>
      <c r="Q10" s="172" t="n">
        <f aca="false">MAX(0,Copertura!$I$34-Copertura!$G$34,Copertura!$I$35-Copertura!$G$35)</f>
        <v>0</v>
      </c>
      <c r="R10" s="172" t="n">
        <f aca="false">MAX(0,Copertura!$I$36-Copertura!$G$36,Copertura!$I$37-Copertura!$G$37)</f>
        <v>0</v>
      </c>
      <c r="S10" s="172" t="n">
        <f aca="false">MAX(0,Copertura!$I$38-Copertura!$G$38,Copertura!$I$39-Copertura!$G$39)</f>
        <v>0</v>
      </c>
      <c r="T10" s="172" t="n">
        <f aca="false">MAX(0,Copertura!$I$40-Copertura!$G$40,Copertura!$I$41-Copertura!$G$41)</f>
        <v>0</v>
      </c>
      <c r="U10" s="172" t="n">
        <f aca="false">MAX(0,Copertura!$I$42-Copertura!$G$42,Copertura!$I$43-Copertura!$G$43)</f>
        <v>0</v>
      </c>
      <c r="V10" s="172" t="n">
        <f aca="false">MAX(0,Copertura!$I$44-Copertura!$G$44,Copertura!$I$45-Copertura!$G$45)</f>
        <v>1</v>
      </c>
      <c r="W10" s="172" t="n">
        <f aca="false">MAX(0,Copertura!$I$46-Copertura!$G$46,Copertura!$I$47-Copertura!$G$47)</f>
        <v>0</v>
      </c>
      <c r="X10" s="172" t="n">
        <f aca="false">MAX(0,Copertura!$I$48-Copertura!$G$48,Copertura!$I$49-Copertura!$G$49)</f>
        <v>0</v>
      </c>
      <c r="Y10" s="172" t="n">
        <f aca="false">MAX(0,Copertura!$I$50-Copertura!$G$50,Copertura!$I$51-Copertura!$G$51)</f>
        <v>0</v>
      </c>
      <c r="Z10" s="172" t="n">
        <f aca="false">MAX(0,Copertura!$I$52-Copertura!$G$52,Copertura!$I$53-Copertura!$G$53)</f>
        <v>0</v>
      </c>
      <c r="AA10" s="172" t="n">
        <f aca="false">MAX(0,Copertura!$I$54-Copertura!$G$54,Copertura!$I$55-Copertura!$G$55)</f>
        <v>0</v>
      </c>
      <c r="AB10" s="172" t="n">
        <f aca="false">MAX(0,Copertura!$I$56-Copertura!$G$56,Copertura!$I$57-Copertura!$G$57)</f>
        <v>0</v>
      </c>
      <c r="AC10" s="172" t="n">
        <f aca="false">MAX(0,Copertura!$I$58-Copertura!$G$58,Copertura!$I$59-Copertura!$G$59)</f>
        <v>0</v>
      </c>
      <c r="AD10" s="172" t="n">
        <f aca="false">MAX(0,Copertura!$I$60-Copertura!$G$60,Copertura!$I$61-Copertura!$G$61)</f>
        <v>0</v>
      </c>
      <c r="AE10" s="172" t="n">
        <f aca="false">MAX(0,Copertura!$I$62-Copertura!$G$62,Copertura!$I$63-Copertura!$G$63)</f>
        <v>0</v>
      </c>
      <c r="AF10" s="172" t="n">
        <f aca="false">MAX(0,Copertura!$I$64-Copertura!$G$64,Copertura!$I$65-Copertura!$G$65)</f>
        <v>0</v>
      </c>
      <c r="AG10" s="172" t="n">
        <f aca="false">MAX(0,Copertura!$I$66-Copertura!$G$66,Copertura!$I$67-Copertura!$G$67)</f>
        <v>0</v>
      </c>
      <c r="AI10" s="173" t="n">
        <f aca="false">SUMPRODUCT(--(Copertura!$I$6:$I$68&gt;Copertura!$G$6:$G$68),(Copertura!$I$6:$I$68-Copertura!$G$6:$G$68))*0.25</f>
        <v>0.25</v>
      </c>
    </row>
    <row r="11" customFormat="false" ht="15" hidden="false" customHeight="true" outlineLevel="0" collapsed="false">
      <c r="B11" s="171" t="s">
        <v>10</v>
      </c>
      <c r="C11" s="172" t="n">
        <f aca="false">MAX(0,Copertura!$M$6-Copertura!$K$6,Copertura!$M$7-Copertura!$K$7)</f>
        <v>0</v>
      </c>
      <c r="D11" s="172" t="n">
        <f aca="false">MAX(0,Copertura!$M$8-Copertura!$K$8,Copertura!$M$9-Copertura!$K$9)</f>
        <v>0</v>
      </c>
      <c r="E11" s="172" t="n">
        <f aca="false">MAX(0,Copertura!$M$10-Copertura!$K$10,Copertura!$M$11-Copertura!$K$11)</f>
        <v>0</v>
      </c>
      <c r="F11" s="172" t="n">
        <f aca="false">MAX(0,Copertura!$M$12-Copertura!$K$12,Copertura!$M$13-Copertura!$K$13)</f>
        <v>0</v>
      </c>
      <c r="G11" s="172" t="n">
        <f aca="false">MAX(0,Copertura!$M$14-Copertura!$K$14,Copertura!$M$15-Copertura!$K$15)</f>
        <v>0</v>
      </c>
      <c r="H11" s="172" t="n">
        <f aca="false">MAX(0,Copertura!$M$16-Copertura!$K$16,Copertura!$M$17-Copertura!$K$17)</f>
        <v>0</v>
      </c>
      <c r="I11" s="172" t="n">
        <f aca="false">MAX(0,Copertura!$M$18-Copertura!$K$18,Copertura!$M$19-Copertura!$K$19)</f>
        <v>0</v>
      </c>
      <c r="J11" s="172" t="n">
        <f aca="false">MAX(0,Copertura!$M$20-Copertura!$K$20,Copertura!$M$21-Copertura!$K$21)</f>
        <v>0</v>
      </c>
      <c r="K11" s="172" t="n">
        <f aca="false">MAX(0,Copertura!$M$22-Copertura!$K$22,Copertura!$M$23-Copertura!$K$23)</f>
        <v>0</v>
      </c>
      <c r="L11" s="172" t="n">
        <f aca="false">MAX(0,Copertura!$M$24-Copertura!$K$24,Copertura!$M$25-Copertura!$K$25)</f>
        <v>0</v>
      </c>
      <c r="M11" s="172" t="n">
        <f aca="false">MAX(0,Copertura!$M$26-Copertura!$K$26,Copertura!$M$27-Copertura!$K$27)</f>
        <v>0</v>
      </c>
      <c r="N11" s="172" t="n">
        <f aca="false">MAX(0,Copertura!$M$28-Copertura!$K$28,Copertura!$M$29-Copertura!$K$29)</f>
        <v>0</v>
      </c>
      <c r="O11" s="172" t="n">
        <f aca="false">MAX(0,Copertura!$M$30-Copertura!$K$30,Copertura!$M$31-Copertura!$K$31)</f>
        <v>0</v>
      </c>
      <c r="P11" s="172" t="n">
        <f aca="false">MAX(0,Copertura!$M$32-Copertura!$K$32,Copertura!$M$33-Copertura!$K$33)</f>
        <v>0</v>
      </c>
      <c r="Q11" s="172" t="n">
        <f aca="false">MAX(0,Copertura!$M$34-Copertura!$K$34,Copertura!$M$35-Copertura!$K$35)</f>
        <v>0</v>
      </c>
      <c r="R11" s="172" t="n">
        <f aca="false">MAX(0,Copertura!$M$36-Copertura!$K$36,Copertura!$M$37-Copertura!$K$37)</f>
        <v>0</v>
      </c>
      <c r="S11" s="172" t="n">
        <f aca="false">MAX(0,Copertura!$M$38-Copertura!$K$38,Copertura!$M$39-Copertura!$K$39)</f>
        <v>0</v>
      </c>
      <c r="T11" s="172" t="n">
        <f aca="false">MAX(0,Copertura!$M$40-Copertura!$K$40,Copertura!$M$41-Copertura!$K$41)</f>
        <v>0</v>
      </c>
      <c r="U11" s="172" t="n">
        <f aca="false">MAX(0,Copertura!$M$42-Copertura!$K$42,Copertura!$M$43-Copertura!$K$43)</f>
        <v>0</v>
      </c>
      <c r="V11" s="172" t="n">
        <f aca="false">MAX(0,Copertura!$M$44-Copertura!$K$44,Copertura!$M$45-Copertura!$K$45)</f>
        <v>0</v>
      </c>
      <c r="W11" s="172" t="n">
        <f aca="false">MAX(0,Copertura!$M$46-Copertura!$K$46,Copertura!$M$47-Copertura!$K$47)</f>
        <v>0</v>
      </c>
      <c r="X11" s="172" t="n">
        <f aca="false">MAX(0,Copertura!$M$48-Copertura!$K$48,Copertura!$M$49-Copertura!$K$49)</f>
        <v>0</v>
      </c>
      <c r="Y11" s="172" t="n">
        <f aca="false">MAX(0,Copertura!$M$50-Copertura!$K$50,Copertura!$M$51-Copertura!$K$51)</f>
        <v>0</v>
      </c>
      <c r="Z11" s="172" t="n">
        <f aca="false">MAX(0,Copertura!$M$52-Copertura!$K$52,Copertura!$M$53-Copertura!$K$53)</f>
        <v>0</v>
      </c>
      <c r="AA11" s="172" t="n">
        <f aca="false">MAX(0,Copertura!$M$54-Copertura!$K$54,Copertura!$M$55-Copertura!$K$55)</f>
        <v>0</v>
      </c>
      <c r="AB11" s="172" t="n">
        <f aca="false">MAX(0,Copertura!$M$56-Copertura!$K$56,Copertura!$M$57-Copertura!$K$57)</f>
        <v>0</v>
      </c>
      <c r="AC11" s="172" t="n">
        <f aca="false">MAX(0,Copertura!$M$58-Copertura!$K$58,Copertura!$M$59-Copertura!$K$59)</f>
        <v>0</v>
      </c>
      <c r="AD11" s="172" t="n">
        <f aca="false">MAX(0,Copertura!$M$60-Copertura!$K$60,Copertura!$M$61-Copertura!$K$61)</f>
        <v>0</v>
      </c>
      <c r="AE11" s="172" t="n">
        <f aca="false">MAX(0,Copertura!$M$62-Copertura!$K$62,Copertura!$M$63-Copertura!$K$63)</f>
        <v>0</v>
      </c>
      <c r="AF11" s="172" t="n">
        <f aca="false">MAX(0,Copertura!$M$64-Copertura!$K$64,Copertura!$M$65-Copertura!$K$65)</f>
        <v>0</v>
      </c>
      <c r="AG11" s="172" t="n">
        <f aca="false">MAX(0,Copertura!$M$66-Copertura!$K$66,Copertura!$M$67-Copertura!$K$67)</f>
        <v>0</v>
      </c>
      <c r="AI11" s="173" t="n">
        <f aca="false">SUMPRODUCT(--(Copertura!$M$6:$M$68&gt;Copertura!$K$6:$K$68),(Copertura!$M$6:$M$68-Copertura!$K$6:$K$68))*0.25</f>
        <v>0</v>
      </c>
    </row>
    <row r="12" customFormat="false" ht="15" hidden="false" customHeight="true" outlineLevel="0" collapsed="false">
      <c r="B12" s="171" t="s">
        <v>11</v>
      </c>
      <c r="C12" s="172" t="n">
        <f aca="false">MAX(0,Copertura!$Q$6-Copertura!$O$6,Copertura!$Q$7-Copertura!$O$7)</f>
        <v>0</v>
      </c>
      <c r="D12" s="172" t="n">
        <f aca="false">MAX(0,Copertura!$Q$8-Copertura!$O$8,Copertura!$Q$9-Copertura!$O$9)</f>
        <v>0</v>
      </c>
      <c r="E12" s="172" t="n">
        <f aca="false">MAX(0,Copertura!$Q$10-Copertura!$O$10,Copertura!$Q$11-Copertura!$O$11)</f>
        <v>0</v>
      </c>
      <c r="F12" s="172" t="n">
        <f aca="false">MAX(0,Copertura!$Q$12-Copertura!$O$12,Copertura!$Q$13-Copertura!$O$13)</f>
        <v>0</v>
      </c>
      <c r="G12" s="172" t="n">
        <f aca="false">MAX(0,Copertura!$Q$14-Copertura!$O$14,Copertura!$Q$15-Copertura!$O$15)</f>
        <v>0</v>
      </c>
      <c r="H12" s="172" t="n">
        <f aca="false">MAX(0,Copertura!$Q$16-Copertura!$O$16,Copertura!$Q$17-Copertura!$O$17)</f>
        <v>0</v>
      </c>
      <c r="I12" s="172" t="n">
        <f aca="false">MAX(0,Copertura!$Q$18-Copertura!$O$18,Copertura!$Q$19-Copertura!$O$19)</f>
        <v>0</v>
      </c>
      <c r="J12" s="172" t="n">
        <f aca="false">MAX(0,Copertura!$Q$20-Copertura!$O$20,Copertura!$Q$21-Copertura!$O$21)</f>
        <v>0</v>
      </c>
      <c r="K12" s="172" t="n">
        <f aca="false">MAX(0,Copertura!$Q$22-Copertura!$O$22,Copertura!$Q$23-Copertura!$O$23)</f>
        <v>0</v>
      </c>
      <c r="L12" s="172" t="n">
        <f aca="false">MAX(0,Copertura!$Q$24-Copertura!$O$24,Copertura!$Q$25-Copertura!$O$25)</f>
        <v>0</v>
      </c>
      <c r="M12" s="172" t="n">
        <f aca="false">MAX(0,Copertura!$Q$26-Copertura!$O$26,Copertura!$Q$27-Copertura!$O$27)</f>
        <v>0</v>
      </c>
      <c r="N12" s="172" t="n">
        <f aca="false">MAX(0,Copertura!$Q$28-Copertura!$O$28,Copertura!$Q$29-Copertura!$O$29)</f>
        <v>0</v>
      </c>
      <c r="O12" s="172" t="n">
        <f aca="false">MAX(0,Copertura!$Q$30-Copertura!$O$30,Copertura!$Q$31-Copertura!$O$31)</f>
        <v>0</v>
      </c>
      <c r="P12" s="172" t="n">
        <f aca="false">MAX(0,Copertura!$Q$32-Copertura!$O$32,Copertura!$Q$33-Copertura!$O$33)</f>
        <v>0</v>
      </c>
      <c r="Q12" s="172" t="n">
        <f aca="false">MAX(0,Copertura!$Q$34-Copertura!$O$34,Copertura!$Q$35-Copertura!$O$35)</f>
        <v>0</v>
      </c>
      <c r="R12" s="172" t="n">
        <f aca="false">MAX(0,Copertura!$Q$36-Copertura!$O$36,Copertura!$Q$37-Copertura!$O$37)</f>
        <v>0</v>
      </c>
      <c r="S12" s="172" t="n">
        <f aca="false">MAX(0,Copertura!$Q$38-Copertura!$O$38,Copertura!$Q$39-Copertura!$O$39)</f>
        <v>0</v>
      </c>
      <c r="T12" s="172" t="n">
        <f aca="false">MAX(0,Copertura!$Q$40-Copertura!$O$40,Copertura!$Q$41-Copertura!$O$41)</f>
        <v>0</v>
      </c>
      <c r="U12" s="172" t="n">
        <f aca="false">MAX(0,Copertura!$Q$42-Copertura!$O$42,Copertura!$Q$43-Copertura!$O$43)</f>
        <v>0</v>
      </c>
      <c r="V12" s="172" t="n">
        <f aca="false">MAX(0,Copertura!$Q$44-Copertura!$O$44,Copertura!$Q$45-Copertura!$O$45)</f>
        <v>0</v>
      </c>
      <c r="W12" s="172" t="n">
        <f aca="false">MAX(0,Copertura!$Q$46-Copertura!$O$46,Copertura!$Q$47-Copertura!$O$47)</f>
        <v>0</v>
      </c>
      <c r="X12" s="172" t="n">
        <f aca="false">MAX(0,Copertura!$Q$48-Copertura!$O$48,Copertura!$Q$49-Copertura!$O$49)</f>
        <v>0</v>
      </c>
      <c r="Y12" s="172" t="n">
        <f aca="false">MAX(0,Copertura!$Q$50-Copertura!$O$50,Copertura!$Q$51-Copertura!$O$51)</f>
        <v>0</v>
      </c>
      <c r="Z12" s="172" t="n">
        <f aca="false">MAX(0,Copertura!$Q$52-Copertura!$O$52,Copertura!$Q$53-Copertura!$O$53)</f>
        <v>0</v>
      </c>
      <c r="AA12" s="172" t="n">
        <f aca="false">MAX(0,Copertura!$Q$54-Copertura!$O$54,Copertura!$Q$55-Copertura!$O$55)</f>
        <v>0</v>
      </c>
      <c r="AB12" s="172" t="n">
        <f aca="false">MAX(0,Copertura!$Q$56-Copertura!$O$56,Copertura!$Q$57-Copertura!$O$57)</f>
        <v>0</v>
      </c>
      <c r="AC12" s="172" t="n">
        <f aca="false">MAX(0,Copertura!$Q$58-Copertura!$O$58,Copertura!$Q$59-Copertura!$O$59)</f>
        <v>0</v>
      </c>
      <c r="AD12" s="172" t="n">
        <f aca="false">MAX(0,Copertura!$Q$60-Copertura!$O$60,Copertura!$Q$61-Copertura!$O$61)</f>
        <v>0</v>
      </c>
      <c r="AE12" s="172" t="n">
        <f aca="false">MAX(0,Copertura!$Q$62-Copertura!$O$62,Copertura!$Q$63-Copertura!$O$63)</f>
        <v>1</v>
      </c>
      <c r="AF12" s="172" t="n">
        <f aca="false">MAX(0,Copertura!$Q$64-Copertura!$O$64,Copertura!$Q$65-Copertura!$O$65)</f>
        <v>0</v>
      </c>
      <c r="AG12" s="172" t="n">
        <f aca="false">MAX(0,Copertura!$Q$66-Copertura!$O$66,Copertura!$Q$67-Copertura!$O$67)</f>
        <v>0</v>
      </c>
      <c r="AI12" s="173" t="n">
        <f aca="false">SUMPRODUCT(--(Copertura!$Q$6:$Q$68&gt;Copertura!$O$6:$O$68),(Copertura!$Q$6:$Q$68-Copertura!$O$6:$O$68))*0.25</f>
        <v>0.5</v>
      </c>
    </row>
    <row r="13" customFormat="false" ht="15" hidden="false" customHeight="true" outlineLevel="0" collapsed="false">
      <c r="B13" s="171" t="s">
        <v>12</v>
      </c>
      <c r="C13" s="172" t="n">
        <f aca="false">MAX(0,Copertura!$U$6-Copertura!$S$6,Copertura!$U$7-Copertura!$S$7)</f>
        <v>0</v>
      </c>
      <c r="D13" s="172" t="n">
        <f aca="false">MAX(0,Copertura!$U$8-Copertura!$S$8,Copertura!$U$9-Copertura!$S$9)</f>
        <v>0</v>
      </c>
      <c r="E13" s="172" t="n">
        <f aca="false">MAX(0,Copertura!$U$10-Copertura!$S$10,Copertura!$U$11-Copertura!$S$11)</f>
        <v>0</v>
      </c>
      <c r="F13" s="172" t="n">
        <f aca="false">MAX(0,Copertura!$U$12-Copertura!$S$12,Copertura!$U$13-Copertura!$S$13)</f>
        <v>0</v>
      </c>
      <c r="G13" s="172" t="n">
        <f aca="false">MAX(0,Copertura!$U$14-Copertura!$S$14,Copertura!$U$15-Copertura!$S$15)</f>
        <v>0</v>
      </c>
      <c r="H13" s="172" t="n">
        <f aca="false">MAX(0,Copertura!$U$16-Copertura!$S$16,Copertura!$U$17-Copertura!$S$17)</f>
        <v>0</v>
      </c>
      <c r="I13" s="172" t="n">
        <f aca="false">MAX(0,Copertura!$U$18-Copertura!$S$18,Copertura!$U$19-Copertura!$S$19)</f>
        <v>0</v>
      </c>
      <c r="J13" s="172" t="n">
        <f aca="false">MAX(0,Copertura!$U$20-Copertura!$S$20,Copertura!$U$21-Copertura!$S$21)</f>
        <v>0</v>
      </c>
      <c r="K13" s="172" t="n">
        <f aca="false">MAX(0,Copertura!$U$22-Copertura!$S$22,Copertura!$U$23-Copertura!$S$23)</f>
        <v>0</v>
      </c>
      <c r="L13" s="172" t="n">
        <f aca="false">MAX(0,Copertura!$U$24-Copertura!$S$24,Copertura!$U$25-Copertura!$S$25)</f>
        <v>0</v>
      </c>
      <c r="M13" s="172" t="n">
        <f aca="false">MAX(0,Copertura!$U$26-Copertura!$S$26,Copertura!$U$27-Copertura!$S$27)</f>
        <v>0</v>
      </c>
      <c r="N13" s="172" t="n">
        <f aca="false">MAX(0,Copertura!$U$28-Copertura!$S$28,Copertura!$U$29-Copertura!$S$29)</f>
        <v>0</v>
      </c>
      <c r="O13" s="172" t="n">
        <f aca="false">MAX(0,Copertura!$U$30-Copertura!$S$30,Copertura!$U$31-Copertura!$S$31)</f>
        <v>0</v>
      </c>
      <c r="P13" s="172" t="n">
        <f aca="false">MAX(0,Copertura!$U$32-Copertura!$S$32,Copertura!$U$33-Copertura!$S$33)</f>
        <v>0</v>
      </c>
      <c r="Q13" s="172" t="n">
        <f aca="false">MAX(0,Copertura!$U$34-Copertura!$S$34,Copertura!$U$35-Copertura!$S$35)</f>
        <v>0</v>
      </c>
      <c r="R13" s="172" t="n">
        <f aca="false">MAX(0,Copertura!$U$36-Copertura!$S$36,Copertura!$U$37-Copertura!$S$37)</f>
        <v>0</v>
      </c>
      <c r="S13" s="172" t="n">
        <f aca="false">MAX(0,Copertura!$U$38-Copertura!$S$38,Copertura!$U$39-Copertura!$S$39)</f>
        <v>0</v>
      </c>
      <c r="T13" s="172" t="n">
        <f aca="false">MAX(0,Copertura!$U$40-Copertura!$S$40,Copertura!$U$41-Copertura!$S$41)</f>
        <v>0</v>
      </c>
      <c r="U13" s="172" t="n">
        <f aca="false">MAX(0,Copertura!$U$42-Copertura!$S$42,Copertura!$U$43-Copertura!$S$43)</f>
        <v>0</v>
      </c>
      <c r="V13" s="172" t="n">
        <f aca="false">MAX(0,Copertura!$U$44-Copertura!$S$44,Copertura!$U$45-Copertura!$S$45)</f>
        <v>0</v>
      </c>
      <c r="W13" s="172" t="n">
        <f aca="false">MAX(0,Copertura!$U$46-Copertura!$S$46,Copertura!$U$47-Copertura!$S$47)</f>
        <v>0</v>
      </c>
      <c r="X13" s="172" t="n">
        <f aca="false">MAX(0,Copertura!$U$48-Copertura!$S$48,Copertura!$U$49-Copertura!$S$49)</f>
        <v>0</v>
      </c>
      <c r="Y13" s="172" t="n">
        <f aca="false">MAX(0,Copertura!$U$50-Copertura!$S$50,Copertura!$U$51-Copertura!$S$51)</f>
        <v>0</v>
      </c>
      <c r="Z13" s="172" t="n">
        <f aca="false">MAX(0,Copertura!$U$52-Copertura!$S$52,Copertura!$U$53-Copertura!$S$53)</f>
        <v>0</v>
      </c>
      <c r="AA13" s="172" t="n">
        <f aca="false">MAX(0,Copertura!$U$54-Copertura!$S$54,Copertura!$U$55-Copertura!$S$55)</f>
        <v>0</v>
      </c>
      <c r="AB13" s="172" t="n">
        <f aca="false">MAX(0,Copertura!$U$56-Copertura!$S$56,Copertura!$U$57-Copertura!$S$57)</f>
        <v>0</v>
      </c>
      <c r="AC13" s="172" t="n">
        <f aca="false">MAX(0,Copertura!$U$58-Copertura!$S$58,Copertura!$U$59-Copertura!$S$59)</f>
        <v>1</v>
      </c>
      <c r="AD13" s="172" t="n">
        <f aca="false">MAX(0,Copertura!$U$60-Copertura!$S$60,Copertura!$U$61-Copertura!$S$61)</f>
        <v>0</v>
      </c>
      <c r="AE13" s="172" t="n">
        <f aca="false">MAX(0,Copertura!$U$62-Copertura!$S$62,Copertura!$U$63-Copertura!$S$63)</f>
        <v>0</v>
      </c>
      <c r="AF13" s="172" t="n">
        <f aca="false">MAX(0,Copertura!$U$64-Copertura!$S$64,Copertura!$U$65-Copertura!$S$65)</f>
        <v>0</v>
      </c>
      <c r="AG13" s="172" t="n">
        <f aca="false">MAX(0,Copertura!$U$66-Copertura!$S$66,Copertura!$U$67-Copertura!$S$67)</f>
        <v>0</v>
      </c>
      <c r="AI13" s="173" t="n">
        <f aca="false">SUMPRODUCT(--(Copertura!$U$6:$U$68&gt;Copertura!$S$6:$S$68),(Copertura!$U$6:$U$68-Copertura!$S$6:$S$68))*0.25</f>
        <v>0.5</v>
      </c>
    </row>
    <row r="14" customFormat="false" ht="15" hidden="false" customHeight="true" outlineLevel="0" collapsed="false">
      <c r="B14" s="171" t="s">
        <v>13</v>
      </c>
      <c r="C14" s="172" t="n">
        <f aca="false">MAX(0,Copertura!$Y$6-Copertura!$W$6,Copertura!$Y$7-Copertura!$W$7)</f>
        <v>0</v>
      </c>
      <c r="D14" s="172" t="n">
        <f aca="false">MAX(0,Copertura!$Y$8-Copertura!$W$8,Copertura!$Y$9-Copertura!$W$9)</f>
        <v>0</v>
      </c>
      <c r="E14" s="172" t="n">
        <f aca="false">MAX(0,Copertura!$Y$10-Copertura!$W$10,Copertura!$Y$11-Copertura!$W$11)</f>
        <v>0</v>
      </c>
      <c r="F14" s="172" t="n">
        <f aca="false">MAX(0,Copertura!$Y$12-Copertura!$W$12,Copertura!$Y$13-Copertura!$W$13)</f>
        <v>0</v>
      </c>
      <c r="G14" s="172" t="n">
        <f aca="false">MAX(0,Copertura!$Y$14-Copertura!$W$14,Copertura!$Y$15-Copertura!$W$15)</f>
        <v>0</v>
      </c>
      <c r="H14" s="172" t="n">
        <f aca="false">MAX(0,Copertura!$Y$16-Copertura!$W$16,Copertura!$Y$17-Copertura!$W$17)</f>
        <v>0</v>
      </c>
      <c r="I14" s="172" t="n">
        <f aca="false">MAX(0,Copertura!$Y$18-Copertura!$W$18,Copertura!$Y$19-Copertura!$W$19)</f>
        <v>0</v>
      </c>
      <c r="J14" s="172" t="n">
        <f aca="false">MAX(0,Copertura!$Y$20-Copertura!$W$20,Copertura!$Y$21-Copertura!$W$21)</f>
        <v>0</v>
      </c>
      <c r="K14" s="172" t="n">
        <f aca="false">MAX(0,Copertura!$Y$22-Copertura!$W$22,Copertura!$Y$23-Copertura!$W$23)</f>
        <v>0</v>
      </c>
      <c r="L14" s="172" t="n">
        <f aca="false">MAX(0,Copertura!$Y$24-Copertura!$W$24,Copertura!$Y$25-Copertura!$W$25)</f>
        <v>0</v>
      </c>
      <c r="M14" s="172" t="n">
        <f aca="false">MAX(0,Copertura!$Y$26-Copertura!$W$26,Copertura!$Y$27-Copertura!$W$27)</f>
        <v>0</v>
      </c>
      <c r="N14" s="172" t="n">
        <f aca="false">MAX(0,Copertura!$Y$28-Copertura!$W$28,Copertura!$Y$29-Copertura!$W$29)</f>
        <v>0</v>
      </c>
      <c r="O14" s="172" t="n">
        <f aca="false">MAX(0,Copertura!$Y$30-Copertura!$W$30,Copertura!$Y$31-Copertura!$W$31)</f>
        <v>0</v>
      </c>
      <c r="P14" s="172" t="n">
        <f aca="false">MAX(0,Copertura!$Y$32-Copertura!$W$32,Copertura!$Y$33-Copertura!$W$33)</f>
        <v>0</v>
      </c>
      <c r="Q14" s="172" t="n">
        <f aca="false">MAX(0,Copertura!$Y$34-Copertura!$W$34,Copertura!$Y$35-Copertura!$W$35)</f>
        <v>0</v>
      </c>
      <c r="R14" s="172" t="n">
        <f aca="false">MAX(0,Copertura!$Y$36-Copertura!$W$36,Copertura!$Y$37-Copertura!$W$37)</f>
        <v>0</v>
      </c>
      <c r="S14" s="172" t="n">
        <f aca="false">MAX(0,Copertura!$Y$38-Copertura!$W$38,Copertura!$Y$39-Copertura!$W$39)</f>
        <v>0</v>
      </c>
      <c r="T14" s="172" t="n">
        <f aca="false">MAX(0,Copertura!$Y$40-Copertura!$W$40,Copertura!$Y$41-Copertura!$W$41)</f>
        <v>0</v>
      </c>
      <c r="U14" s="172" t="n">
        <f aca="false">MAX(0,Copertura!$Y$42-Copertura!$W$42,Copertura!$Y$43-Copertura!$W$43)</f>
        <v>0</v>
      </c>
      <c r="V14" s="172" t="n">
        <f aca="false">MAX(0,Copertura!$Y$44-Copertura!$W$44,Copertura!$Y$45-Copertura!$W$45)</f>
        <v>0</v>
      </c>
      <c r="W14" s="172" t="n">
        <f aca="false">MAX(0,Copertura!$Y$46-Copertura!$W$46,Copertura!$Y$47-Copertura!$W$47)</f>
        <v>0</v>
      </c>
      <c r="X14" s="172" t="n">
        <f aca="false">MAX(0,Copertura!$Y$48-Copertura!$W$48,Copertura!$Y$49-Copertura!$W$49)</f>
        <v>0</v>
      </c>
      <c r="Y14" s="172" t="n">
        <f aca="false">MAX(0,Copertura!$Y$50-Copertura!$W$50,Copertura!$Y$51-Copertura!$W$51)</f>
        <v>0</v>
      </c>
      <c r="Z14" s="172" t="n">
        <f aca="false">MAX(0,Copertura!$Y$52-Copertura!$W$52,Copertura!$Y$53-Copertura!$W$53)</f>
        <v>0</v>
      </c>
      <c r="AA14" s="172" t="n">
        <f aca="false">MAX(0,Copertura!$Y$54-Copertura!$W$54,Copertura!$Y$55-Copertura!$W$55)</f>
        <v>0</v>
      </c>
      <c r="AB14" s="172" t="n">
        <f aca="false">MAX(0,Copertura!$Y$56-Copertura!$W$56,Copertura!$Y$57-Copertura!$W$57)</f>
        <v>0</v>
      </c>
      <c r="AC14" s="172" t="n">
        <f aca="false">MAX(0,Copertura!$Y$58-Copertura!$W$58,Copertura!$Y$59-Copertura!$W$59)</f>
        <v>0</v>
      </c>
      <c r="AD14" s="172" t="n">
        <f aca="false">MAX(0,Copertura!$Y$60-Copertura!$W$60,Copertura!$Y$61-Copertura!$W$61)</f>
        <v>0</v>
      </c>
      <c r="AE14" s="172" t="n">
        <f aca="false">MAX(0,Copertura!$Y$62-Copertura!$W$62,Copertura!$Y$63-Copertura!$W$63)</f>
        <v>0</v>
      </c>
      <c r="AF14" s="172" t="n">
        <f aca="false">MAX(0,Copertura!$Y$64-Copertura!$W$64,Copertura!$Y$65-Copertura!$W$65)</f>
        <v>0</v>
      </c>
      <c r="AG14" s="172" t="n">
        <f aca="false">MAX(0,Copertura!$Y$66-Copertura!$W$66,Copertura!$Y$67-Copertura!$W$67)</f>
        <v>0</v>
      </c>
      <c r="AI14" s="173" t="n">
        <f aca="false">SUMPRODUCT(--(Copertura!$Y$6:$Y$68&gt;Copertura!$W$6:$W$68),(Copertura!$Y$6:$Y$68-Copertura!$W$6:$W$68))*0.25</f>
        <v>0</v>
      </c>
    </row>
    <row r="15" customFormat="false" ht="15" hidden="false" customHeight="true" outlineLevel="0" collapsed="false">
      <c r="B15" s="171" t="s">
        <v>14</v>
      </c>
      <c r="C15" s="172" t="n">
        <f aca="false">MAX(0,Copertura!$AC$6-Copertura!$AA$6,Copertura!$AC$7-Copertura!$AA$7)</f>
        <v>0</v>
      </c>
      <c r="D15" s="172" t="n">
        <f aca="false">MAX(0,Copertura!$AC$8-Copertura!$AA$8,Copertura!$AC$9-Copertura!$AA$9)</f>
        <v>0</v>
      </c>
      <c r="E15" s="172" t="n">
        <f aca="false">MAX(0,Copertura!$AC$10-Copertura!$AA$10,Copertura!$AC$11-Copertura!$AA$11)</f>
        <v>0</v>
      </c>
      <c r="F15" s="172" t="n">
        <f aca="false">MAX(0,Copertura!$AC$12-Copertura!$AA$12,Copertura!$AC$13-Copertura!$AA$13)</f>
        <v>0</v>
      </c>
      <c r="G15" s="172" t="n">
        <f aca="false">MAX(0,Copertura!$AC$14-Copertura!$AA$14,Copertura!$AC$15-Copertura!$AA$15)</f>
        <v>0</v>
      </c>
      <c r="H15" s="172" t="n">
        <f aca="false">MAX(0,Copertura!$AC$16-Copertura!$AA$16,Copertura!$AC$17-Copertura!$AA$17)</f>
        <v>0</v>
      </c>
      <c r="I15" s="172" t="n">
        <f aca="false">MAX(0,Copertura!$AC$18-Copertura!$AA$18,Copertura!$AC$19-Copertura!$AA$19)</f>
        <v>0</v>
      </c>
      <c r="J15" s="172" t="n">
        <f aca="false">MAX(0,Copertura!$AC$20-Copertura!$AA$20,Copertura!$AC$21-Copertura!$AA$21)</f>
        <v>0</v>
      </c>
      <c r="K15" s="172" t="n">
        <f aca="false">MAX(0,Copertura!$AC$22-Copertura!$AA$22,Copertura!$AC$23-Copertura!$AA$23)</f>
        <v>0</v>
      </c>
      <c r="L15" s="172" t="n">
        <f aca="false">MAX(0,Copertura!$AC$24-Copertura!$AA$24,Copertura!$AC$25-Copertura!$AA$25)</f>
        <v>0</v>
      </c>
      <c r="M15" s="172" t="n">
        <f aca="false">MAX(0,Copertura!$AC$26-Copertura!$AA$26,Copertura!$AC$27-Copertura!$AA$27)</f>
        <v>0</v>
      </c>
      <c r="N15" s="172" t="n">
        <f aca="false">MAX(0,Copertura!$AC$28-Copertura!$AA$28,Copertura!$AC$29-Copertura!$AA$29)</f>
        <v>0</v>
      </c>
      <c r="O15" s="172" t="n">
        <f aca="false">MAX(0,Copertura!$AC$30-Copertura!$AA$30,Copertura!$AC$31-Copertura!$AA$31)</f>
        <v>0</v>
      </c>
      <c r="P15" s="172" t="n">
        <f aca="false">MAX(0,Copertura!$AC$32-Copertura!$AA$32,Copertura!$AC$33-Copertura!$AA$33)</f>
        <v>0</v>
      </c>
      <c r="Q15" s="172" t="n">
        <f aca="false">MAX(0,Copertura!$AC$34-Copertura!$AA$34,Copertura!$AC$35-Copertura!$AA$35)</f>
        <v>0</v>
      </c>
      <c r="R15" s="172" t="n">
        <f aca="false">MAX(0,Copertura!$AC$36-Copertura!$AA$36,Copertura!$AC$37-Copertura!$AA$37)</f>
        <v>0</v>
      </c>
      <c r="S15" s="172" t="n">
        <f aca="false">MAX(0,Copertura!$AC$38-Copertura!$AA$38,Copertura!$AC$39-Copertura!$AA$39)</f>
        <v>0</v>
      </c>
      <c r="T15" s="172" t="n">
        <f aca="false">MAX(0,Copertura!$AC$40-Copertura!$AA$40,Copertura!$AC$41-Copertura!$AA$41)</f>
        <v>0</v>
      </c>
      <c r="U15" s="172" t="n">
        <f aca="false">MAX(0,Copertura!$AC$42-Copertura!$AA$42,Copertura!$AC$43-Copertura!$AA$43)</f>
        <v>0</v>
      </c>
      <c r="V15" s="172" t="n">
        <f aca="false">MAX(0,Copertura!$AC$44-Copertura!$AA$44,Copertura!$AC$45-Copertura!$AA$45)</f>
        <v>0</v>
      </c>
      <c r="W15" s="172" t="n">
        <f aca="false">MAX(0,Copertura!$AC$46-Copertura!$AA$46,Copertura!$AC$47-Copertura!$AA$47)</f>
        <v>0</v>
      </c>
      <c r="X15" s="172" t="n">
        <f aca="false">MAX(0,Copertura!$AC$48-Copertura!$AA$48,Copertura!$AC$49-Copertura!$AA$49)</f>
        <v>0</v>
      </c>
      <c r="Y15" s="172" t="n">
        <f aca="false">MAX(0,Copertura!$AC$50-Copertura!$AA$50,Copertura!$AC$51-Copertura!$AA$51)</f>
        <v>0</v>
      </c>
      <c r="Z15" s="172" t="n">
        <f aca="false">MAX(0,Copertura!$AC$52-Copertura!$AA$52,Copertura!$AC$53-Copertura!$AA$53)</f>
        <v>0</v>
      </c>
      <c r="AA15" s="172" t="n">
        <f aca="false">MAX(0,Copertura!$AC$54-Copertura!$AA$54,Copertura!$AC$55-Copertura!$AA$55)</f>
        <v>0</v>
      </c>
      <c r="AB15" s="172" t="n">
        <f aca="false">MAX(0,Copertura!$AC$56-Copertura!$AA$56,Copertura!$AC$57-Copertura!$AA$57)</f>
        <v>0</v>
      </c>
      <c r="AC15" s="172" t="n">
        <f aca="false">MAX(0,Copertura!$AC$58-Copertura!$AA$58,Copertura!$AC$59-Copertura!$AA$59)</f>
        <v>0</v>
      </c>
      <c r="AD15" s="172" t="n">
        <f aca="false">MAX(0,Copertura!$AC$60-Copertura!$AA$60,Copertura!$AC$61-Copertura!$AA$61)</f>
        <v>0</v>
      </c>
      <c r="AE15" s="172" t="n">
        <f aca="false">MAX(0,Copertura!$AC$62-Copertura!$AA$62,Copertura!$AC$63-Copertura!$AA$63)</f>
        <v>0</v>
      </c>
      <c r="AF15" s="172" t="n">
        <f aca="false">MAX(0,Copertura!$AC$64-Copertura!$AA$64,Copertura!$AC$65-Copertura!$AA$65)</f>
        <v>0</v>
      </c>
      <c r="AG15" s="172" t="n">
        <f aca="false">MAX(0,Copertura!$AC$66-Copertura!$AA$66,Copertura!$AC$67-Copertura!$AA$67)</f>
        <v>0</v>
      </c>
      <c r="AI15" s="173" t="n">
        <f aca="false">SUMPRODUCT(--(Copertura!$AC$6:$AC$68&gt;Copertura!$AA$6:$AA$68),(Copertura!$AC$6:$AC$68-Copertura!$AA$6:$AA$68))*0.25</f>
        <v>0</v>
      </c>
    </row>
    <row r="19" customFormat="false" ht="15.75" hidden="false" customHeight="true" outlineLevel="0" collapsed="false">
      <c r="B19" s="167" t="s">
        <v>364</v>
      </c>
    </row>
    <row r="20" customFormat="false" ht="15" hidden="false" customHeight="true" outlineLevel="0" collapsed="false">
      <c r="B20" s="174" t="s">
        <v>365</v>
      </c>
      <c r="C20" s="175" t="s">
        <v>14</v>
      </c>
      <c r="E20" s="166" t="s">
        <v>366</v>
      </c>
    </row>
    <row r="21" customFormat="false" ht="15" hidden="false" customHeight="true" outlineLevel="0" collapsed="false">
      <c r="B21" s="176" t="n">
        <f aca="false">MATCH($C$20,{"Lun","Mar","Mer","Gio","Ven","Sab","Dom"},0)</f>
        <v>7</v>
      </c>
    </row>
    <row r="22" customFormat="false" ht="15" hidden="false" customHeight="true" outlineLevel="0" collapsed="false">
      <c r="AN22" s="166" t="s">
        <v>367</v>
      </c>
    </row>
    <row r="23" customFormat="false" ht="15" hidden="false" customHeight="true" outlineLevel="0" collapsed="false">
      <c r="AN23" s="177" t="s">
        <v>158</v>
      </c>
      <c r="AO23" s="177" t="s">
        <v>368</v>
      </c>
      <c r="AP23" s="177" t="s">
        <v>369</v>
      </c>
      <c r="AR23" s="177" t="s">
        <v>92</v>
      </c>
      <c r="AS23" s="177" t="s">
        <v>370</v>
      </c>
      <c r="AT23" s="177" t="s">
        <v>371</v>
      </c>
    </row>
    <row r="24" customFormat="false" ht="15" hidden="false" customHeight="true" outlineLevel="0" collapsed="false">
      <c r="AN24" s="178" t="n">
        <f aca="false">Copertura!$A$6</f>
        <v>0.229166666666667</v>
      </c>
      <c r="AO24" s="179" t="n">
        <f aca="false">CHOOSE($B$21,Copertura!C6,Copertura!G6,Copertura!K6,Copertura!O6,Copertura!S6,Copertura!W6,Copertura!AA6)</f>
        <v>0</v>
      </c>
      <c r="AP24" s="179" t="n">
        <f aca="false">CHOOSE($B$21,Copertura!E6,Copertura!I6,Copertura!M6,Copertura!Q6,Copertura!U6,Copertura!Y6,Copertura!AC6)</f>
        <v>0</v>
      </c>
      <c r="AR24" s="180" t="str">
        <f aca="false">Turni!$A$5</f>
        <v>DE PICCOLI</v>
      </c>
      <c r="AS24" s="181" t="n">
        <f aca="false">IF(ISNUMBER(CHOOSE($B$21,Turni!F5,Turni!I5,Turni!L5,Turni!O5,Turni!R5,Turni!U5,Turni!X5)),CHOOSE($B$21,Turni!F5,Turni!I5,Turni!L5,Turni!O5,Turni!R5,Turni!U5,Turni!X5)*24,0)</f>
        <v>8</v>
      </c>
      <c r="AT24" s="182" t="n">
        <f aca="false">IF(AND(ISNUMBER(CHOOSE($B$21,Turni!F5,Turni!I5,Turni!L5,Turni!O5,Turni!R5,Turni!U5,Turni!X5)),ISNUMBER(CHOOSE($B$21,Turni!G5,Turni!J5,Turni!M5,Turni!P5,Turni!S5,Turni!V5,Turni!Y5))),(CHOOSE($B$21,Turni!G5,Turni!J5,Turni!M5,Turni!P5,Turni!S5,Turni!V5,Turni!Y5)-CHOOSE($B$21,Turni!F5,Turni!I5,Turni!L5,Turni!O5,Turni!R5,Turni!U5,Turni!X5))*24,0)</f>
        <v>7.5</v>
      </c>
    </row>
    <row r="25" customFormat="false" ht="15" hidden="false" customHeight="true" outlineLevel="0" collapsed="false">
      <c r="AN25" s="178" t="n">
        <f aca="false">Copertura!$A$7</f>
        <v>0.239583333333333</v>
      </c>
      <c r="AO25" s="179" t="n">
        <f aca="false">CHOOSE($B$21,Copertura!C7,Copertura!G7,Copertura!K7,Copertura!O7,Copertura!S7,Copertura!W7,Copertura!AA7)</f>
        <v>0</v>
      </c>
      <c r="AP25" s="179" t="n">
        <f aca="false">CHOOSE($B$21,Copertura!E7,Copertura!I7,Copertura!M7,Copertura!Q7,Copertura!U7,Copertura!Y7,Copertura!AC7)</f>
        <v>0</v>
      </c>
      <c r="AR25" s="180" t="str">
        <f aca="false">Turni!$A$6</f>
        <v>DA PARE’</v>
      </c>
      <c r="AS25" s="181" t="n">
        <f aca="false">IF(ISNUMBER(CHOOSE($B$21,Turni!F6,Turni!I6,Turni!L6,Turni!O6,Turni!R6,Turni!U6,Turni!X6)),CHOOSE($B$21,Turni!F6,Turni!I6,Turni!L6,Turni!O6,Turni!R6,Turni!U6,Turni!X6)*24,0)</f>
        <v>0</v>
      </c>
      <c r="AT25" s="182" t="n">
        <f aca="false">IF(AND(ISNUMBER(CHOOSE($B$21,Turni!F6,Turni!I6,Turni!L6,Turni!O6,Turni!R6,Turni!U6,Turni!X6)),ISNUMBER(CHOOSE($B$21,Turni!G6,Turni!J6,Turni!M6,Turni!P6,Turni!S6,Turni!V6,Turni!Y6))),(CHOOSE($B$21,Turni!G6,Turni!J6,Turni!M6,Turni!P6,Turni!S6,Turni!V6,Turni!Y6)-CHOOSE($B$21,Turni!F6,Turni!I6,Turni!L6,Turni!O6,Turni!R6,Turni!U6,Turni!X6))*24,0)</f>
        <v>0</v>
      </c>
    </row>
    <row r="26" customFormat="false" ht="15" hidden="false" customHeight="true" outlineLevel="0" collapsed="false">
      <c r="AM26" s="1" t="n">
        <f aca="false">Turni!$A$26</f>
        <v>0</v>
      </c>
      <c r="AN26" s="178" t="n">
        <f aca="false">Copertura!$A$8</f>
        <v>0.25</v>
      </c>
      <c r="AO26" s="179" t="n">
        <f aca="false">IF(ISNUMBER(CHOOSE($B$21,Turni!F26,Turni!I26,Turni!L26,Turni!O26,Turni!R26,Turni!U26,Turni!X26)),CHOOSE($B$21,Turni!F26,Turni!I26,Turni!L26,Turni!O26,Turni!R26,Turni!U26,Turni!X26)*24,0)</f>
        <v>0</v>
      </c>
      <c r="AP26" s="179" t="n">
        <f aca="false">IF(AND(ISNUMBER(CHOOSE($B$21,Turni!F26,Turni!I26,Turni!L26,Turni!O26,Turni!R26,Turni!U26,Turni!X26)),ISNUMBER(CHOOSE($B$21,Turni!G26,Turni!J26,Turni!M26,Turni!P26,Turni!S26,Turni!V26,Turni!Y26))),(CHOOSE($B$21,Turni!G26,Turni!J26,Turni!M26,Turni!P26,Turni!S26,Turni!V26,Turni!Y26)-CHOOSE($B$21,Turni!F26,Turni!I26,Turni!L26,Turni!O26,Turni!R26,Turni!U26,Turni!X26))*24,0)</f>
        <v>0</v>
      </c>
      <c r="AR26" s="180" t="str">
        <f aca="false">Turni!$A$7</f>
        <v>DE PELLEGRIN</v>
      </c>
      <c r="AS26" s="181" t="n">
        <f aca="false">IF(ISNUMBER(CHOOSE($B$21,Turni!F7,Turni!I7,Turni!L7,Turni!O7,Turni!R7,Turni!U7,Turni!X7)),CHOOSE($B$21,Turni!F7,Turni!I7,Turni!L7,Turni!O7,Turni!R7,Turni!U7,Turni!X7)*24,0)</f>
        <v>0</v>
      </c>
      <c r="AT26" s="182" t="n">
        <f aca="false">IF(AND(ISNUMBER(CHOOSE($B$21,Turni!F7,Turni!I7,Turni!L7,Turni!O7,Turni!R7,Turni!U7,Turni!X7)),ISNUMBER(CHOOSE($B$21,Turni!G7,Turni!J7,Turni!M7,Turni!P7,Turni!S7,Turni!V7,Turni!Y7))),(CHOOSE($B$21,Turni!G7,Turni!J7,Turni!M7,Turni!P7,Turni!S7,Turni!V7,Turni!Y7)-CHOOSE($B$21,Turni!F7,Turni!I7,Turni!L7,Turni!O7,Turni!R7,Turni!U7,Turni!X7))*24,0)</f>
        <v>0</v>
      </c>
    </row>
    <row r="27" customFormat="false" ht="15" hidden="false" customHeight="true" outlineLevel="0" collapsed="false">
      <c r="AM27" s="1" t="str">
        <f aca="false">Turni!$A$27</f>
        <v>Totale</v>
      </c>
      <c r="AN27" s="178" t="n">
        <f aca="false">Copertura!$A$9</f>
        <v>0.260416666666667</v>
      </c>
      <c r="AO27" s="179" t="n">
        <f aca="false">IF(ISNUMBER(CHOOSE($B$21,Turni!F27,Turni!I27,Turni!L27,Turni!O27,Turni!R27,Turni!U27,Turni!X27)),CHOOSE($B$21,Turni!F27,Turni!I27,Turni!L27,Turni!O27,Turni!R27,Turni!U27,Turni!X27)*24,0)</f>
        <v>0</v>
      </c>
      <c r="AP27" s="179" t="n">
        <f aca="false">IF(AND(ISNUMBER(CHOOSE($B$21,Turni!F27,Turni!I27,Turni!L27,Turni!O27,Turni!R27,Turni!U27,Turni!X27)),ISNUMBER(CHOOSE($B$21,Turni!G27,Turni!J27,Turni!M27,Turni!P27,Turni!S27,Turni!V27,Turni!Y27))),(CHOOSE($B$21,Turni!G27,Turni!J27,Turni!M27,Turni!P27,Turni!S27,Turni!V27,Turni!Y27)-CHOOSE($B$21,Turni!F27,Turni!I27,Turni!L27,Turni!O27,Turni!R27,Turni!U27,Turni!X27))*24,0)</f>
        <v>0</v>
      </c>
      <c r="AR27" s="180" t="str">
        <f aca="false">Turni!$A$8</f>
        <v>DUBON</v>
      </c>
      <c r="AS27" s="181" t="n">
        <f aca="false">IF(ISNUMBER(CHOOSE($B$21,Turni!F8,Turni!I8,Turni!L8,Turni!O8,Turni!R8,Turni!U8,Turni!X8)),CHOOSE($B$21,Turni!F8,Turni!I8,Turni!L8,Turni!O8,Turni!R8,Turni!U8,Turni!X8)*24,0)</f>
        <v>14.25</v>
      </c>
      <c r="AT27" s="182" t="n">
        <f aca="false">IF(AND(ISNUMBER(CHOOSE($B$21,Turni!F8,Turni!I8,Turni!L8,Turni!O8,Turni!R8,Turni!U8,Turni!X8)),ISNUMBER(CHOOSE($B$21,Turni!G8,Turni!J8,Turni!M8,Turni!P8,Turni!S8,Turni!V8,Turni!Y8))),(CHOOSE($B$21,Turni!G8,Turni!J8,Turni!M8,Turni!P8,Turni!S8,Turni!V8,Turni!Y8)-CHOOSE($B$21,Turni!F8,Turni!I8,Turni!L8,Turni!O8,Turni!R8,Turni!U8,Turni!X8))*24,0)</f>
        <v>7</v>
      </c>
    </row>
    <row r="28" customFormat="false" ht="15" hidden="false" customHeight="true" outlineLevel="0" collapsed="false">
      <c r="AN28" s="178" t="n">
        <f aca="false">Copertura!$A$10</f>
        <v>0.270833333333333</v>
      </c>
      <c r="AO28" s="179" t="n">
        <f aca="false">CHOOSE($B$21,Copertura!C10,Copertura!G10,Copertura!K10,Copertura!O10,Copertura!S10,Copertura!W10,Copertura!AA10)</f>
        <v>4</v>
      </c>
      <c r="AP28" s="179" t="n">
        <f aca="false">CHOOSE($B$21,Copertura!E10,Copertura!I10,Copertura!M10,Copertura!Q10,Copertura!U10,Copertura!Y10,Copertura!AC10)</f>
        <v>4</v>
      </c>
      <c r="AR28" s="180" t="str">
        <f aca="false">Turni!$A$9</f>
        <v>MUNERATI</v>
      </c>
      <c r="AS28" s="181" t="n">
        <f aca="false">IF(ISNUMBER(CHOOSE($B$21,Turni!F9,Turni!I9,Turni!L9,Turni!O9,Turni!R9,Turni!U9,Turni!X9)),CHOOSE($B$21,Turni!F9,Turni!I9,Turni!L9,Turni!O9,Turni!R9,Turni!U9,Turni!X9)*24,0)</f>
        <v>0</v>
      </c>
      <c r="AT28" s="182" t="n">
        <f aca="false">IF(AND(ISNUMBER(CHOOSE($B$21,Turni!F9,Turni!I9,Turni!L9,Turni!O9,Turni!R9,Turni!U9,Turni!X9)),ISNUMBER(CHOOSE($B$21,Turni!G9,Turni!J9,Turni!M9,Turni!P9,Turni!S9,Turni!V9,Turni!Y9))),(CHOOSE($B$21,Turni!G9,Turni!J9,Turni!M9,Turni!P9,Turni!S9,Turni!V9,Turni!Y9)-CHOOSE($B$21,Turni!F9,Turni!I9,Turni!L9,Turni!O9,Turni!R9,Turni!U9,Turni!X9))*24,0)</f>
        <v>0</v>
      </c>
    </row>
    <row r="29" customFormat="false" ht="15" hidden="false" customHeight="true" outlineLevel="0" collapsed="false">
      <c r="AN29" s="178" t="n">
        <f aca="false">Copertura!$A$11</f>
        <v>0.28125</v>
      </c>
      <c r="AO29" s="179" t="n">
        <f aca="false">CHOOSE($B$21,Copertura!C11,Copertura!G11,Copertura!K11,Copertura!O11,Copertura!S11,Copertura!W11,Copertura!AA11)</f>
        <v>4</v>
      </c>
      <c r="AP29" s="179" t="n">
        <f aca="false">CHOOSE($B$21,Copertura!E11,Copertura!I11,Copertura!M11,Copertura!Q11,Copertura!U11,Copertura!Y11,Copertura!AC11)</f>
        <v>4</v>
      </c>
      <c r="AR29" s="180" t="str">
        <f aca="false">Turni!$A$10</f>
        <v>SEGAT</v>
      </c>
      <c r="AS29" s="181" t="n">
        <f aca="false">IF(ISNUMBER(CHOOSE($B$21,Turni!F10,Turni!I10,Turni!L10,Turni!O10,Turni!R10,Turni!U10,Turni!X10)),CHOOSE($B$21,Turni!F10,Turni!I10,Turni!L10,Turni!O10,Turni!R10,Turni!U10,Turni!X10)*24,0)</f>
        <v>6</v>
      </c>
      <c r="AT29" s="182" t="n">
        <f aca="false">IF(AND(ISNUMBER(CHOOSE($B$21,Turni!F10,Turni!I10,Turni!L10,Turni!O10,Turni!R10,Turni!U10,Turni!X10)),ISNUMBER(CHOOSE($B$21,Turni!G10,Turni!J10,Turni!M10,Turni!P10,Turni!S10,Turni!V10,Turni!Y10))),(CHOOSE($B$21,Turni!G10,Turni!J10,Turni!M10,Turni!P10,Turni!S10,Turni!V10,Turni!Y10)-CHOOSE($B$21,Turni!F10,Turni!I10,Turni!L10,Turni!O10,Turni!R10,Turni!U10,Turni!X10))*24,0)</f>
        <v>6</v>
      </c>
    </row>
    <row r="30" customFormat="false" ht="15" hidden="false" customHeight="true" outlineLevel="0" collapsed="false">
      <c r="AN30" s="178" t="n">
        <f aca="false">Copertura!$A$12</f>
        <v>0.291666666666667</v>
      </c>
      <c r="AO30" s="179" t="n">
        <f aca="false">CHOOSE($B$21,Copertura!C12,Copertura!G12,Copertura!K12,Copertura!O12,Copertura!S12,Copertura!W12,Copertura!AA12)</f>
        <v>4</v>
      </c>
      <c r="AP30" s="179" t="n">
        <f aca="false">CHOOSE($B$21,Copertura!E12,Copertura!I12,Copertura!M12,Copertura!Q12,Copertura!U12,Copertura!Y12,Copertura!AC12)</f>
        <v>4</v>
      </c>
      <c r="AR30" s="180" t="str">
        <f aca="false">Turni!$A$11</f>
        <v>ANDREOLI</v>
      </c>
      <c r="AS30" s="181" t="n">
        <f aca="false">IF(ISNUMBER(CHOOSE($B$21,Turni!F11,Turni!I11,Turni!L11,Turni!O11,Turni!R11,Turni!U11,Turni!X11)),CHOOSE($B$21,Turni!F11,Turni!I11,Turni!L11,Turni!O11,Turni!R11,Turni!U11,Turni!X11)*24,0)</f>
        <v>11.5</v>
      </c>
      <c r="AT30" s="182" t="n">
        <f aca="false">IF(AND(ISNUMBER(CHOOSE($B$21,Turni!F11,Turni!I11,Turni!L11,Turni!O11,Turni!R11,Turni!U11,Turni!X11)),ISNUMBER(CHOOSE($B$21,Turni!G11,Turni!J11,Turni!M11,Turni!P11,Turni!S11,Turni!V11,Turni!Y11))),(CHOOSE($B$21,Turni!G11,Turni!J11,Turni!M11,Turni!P11,Turni!S11,Turni!V11,Turni!Y11)-CHOOSE($B$21,Turni!F11,Turni!I11,Turni!L11,Turni!O11,Turni!R11,Turni!U11,Turni!X11))*24,0)</f>
        <v>5</v>
      </c>
    </row>
    <row r="31" customFormat="false" ht="15" hidden="false" customHeight="true" outlineLevel="0" collapsed="false">
      <c r="AN31" s="178" t="n">
        <f aca="false">Copertura!$A$13</f>
        <v>0.302083333333333</v>
      </c>
      <c r="AO31" s="179" t="n">
        <f aca="false">CHOOSE($B$21,Copertura!C13,Copertura!G13,Copertura!K13,Copertura!O13,Copertura!S13,Copertura!W13,Copertura!AA13)</f>
        <v>4</v>
      </c>
      <c r="AP31" s="179" t="n">
        <f aca="false">CHOOSE($B$21,Copertura!E13,Copertura!I13,Copertura!M13,Copertura!Q13,Copertura!U13,Copertura!Y13,Copertura!AC13)</f>
        <v>4</v>
      </c>
      <c r="AR31" s="180" t="str">
        <f aca="false">Turni!$A$12</f>
        <v>BELLUCCO</v>
      </c>
      <c r="AS31" s="181" t="n">
        <f aca="false">IF(ISNUMBER(CHOOSE($B$21,Turni!F12,Turni!I12,Turni!L12,Turni!O12,Turni!R12,Turni!U12,Turni!X12)),CHOOSE($B$21,Turni!F12,Turni!I12,Turni!L12,Turni!O12,Turni!R12,Turni!U12,Turni!X12)*24,0)</f>
        <v>15</v>
      </c>
      <c r="AT31" s="182" t="n">
        <f aca="false">IF(AND(ISNUMBER(CHOOSE($B$21,Turni!F12,Turni!I12,Turni!L12,Turni!O12,Turni!R12,Turni!U12,Turni!X12)),ISNUMBER(CHOOSE($B$21,Turni!G12,Turni!J12,Turni!M12,Turni!P12,Turni!S12,Turni!V12,Turni!Y12))),(CHOOSE($B$21,Turni!G12,Turni!J12,Turni!M12,Turni!P12,Turni!S12,Turni!V12,Turni!Y12)-CHOOSE($B$21,Turni!F12,Turni!I12,Turni!L12,Turni!O12,Turni!R12,Turni!U12,Turni!X12))*24,0)</f>
        <v>5</v>
      </c>
    </row>
    <row r="32" customFormat="false" ht="15" hidden="false" customHeight="true" outlineLevel="0" collapsed="false">
      <c r="AN32" s="178" t="n">
        <f aca="false">Copertura!$A$14</f>
        <v>0.3125</v>
      </c>
      <c r="AO32" s="179" t="n">
        <f aca="false">CHOOSE($B$21,Copertura!C14,Copertura!G14,Copertura!K14,Copertura!O14,Copertura!S14,Copertura!W14,Copertura!AA14)</f>
        <v>4</v>
      </c>
      <c r="AP32" s="179" t="n">
        <f aca="false">CHOOSE($B$21,Copertura!E14,Copertura!I14,Copertura!M14,Copertura!Q14,Copertura!U14,Copertura!Y14,Copertura!AC14)</f>
        <v>4</v>
      </c>
      <c r="AR32" s="180" t="str">
        <f aca="false">Turni!$A$13</f>
        <v>BUORO</v>
      </c>
      <c r="AS32" s="181" t="n">
        <f aca="false">IF(ISNUMBER(CHOOSE($B$21,Turni!F13,Turni!I13,Turni!L13,Turni!O13,Turni!R13,Turni!U13,Turni!X13)),CHOOSE($B$21,Turni!F13,Turni!I13,Turni!L13,Turni!O13,Turni!R13,Turni!U13,Turni!X13)*24,0)</f>
        <v>13</v>
      </c>
      <c r="AT32" s="182" t="n">
        <f aca="false">IF(AND(ISNUMBER(CHOOSE($B$21,Turni!F13,Turni!I13,Turni!L13,Turni!O13,Turni!R13,Turni!U13,Turni!X13)),ISNUMBER(CHOOSE($B$21,Turni!G13,Turni!J13,Turni!M13,Turni!P13,Turni!S13,Turni!V13,Turni!Y13))),(CHOOSE($B$21,Turni!G13,Turni!J13,Turni!M13,Turni!P13,Turni!S13,Turni!V13,Turni!Y13)-CHOOSE($B$21,Turni!F13,Turni!I13,Turni!L13,Turni!O13,Turni!R13,Turni!U13,Turni!X13))*24,0)</f>
        <v>5</v>
      </c>
    </row>
    <row r="33" customFormat="false" ht="15" hidden="false" customHeight="true" outlineLevel="0" collapsed="false">
      <c r="AN33" s="178" t="n">
        <f aca="false">Copertura!$A$15</f>
        <v>0.322916666666667</v>
      </c>
      <c r="AO33" s="179" t="n">
        <f aca="false">CHOOSE($B$21,Copertura!C15,Copertura!G15,Copertura!K15,Copertura!O15,Copertura!S15,Copertura!W15,Copertura!AA15)</f>
        <v>4</v>
      </c>
      <c r="AP33" s="179" t="n">
        <f aca="false">CHOOSE($B$21,Copertura!E15,Copertura!I15,Copertura!M15,Copertura!Q15,Copertura!U15,Copertura!Y15,Copertura!AC15)</f>
        <v>4</v>
      </c>
      <c r="AR33" s="180" t="str">
        <f aca="false">Turni!$A$14</f>
        <v>CANOVA</v>
      </c>
      <c r="AS33" s="181" t="n">
        <f aca="false">IF(ISNUMBER(CHOOSE($B$21,Turni!F14,Turni!I14,Turni!L14,Turni!O14,Turni!R14,Turni!U14,Turni!X14)),CHOOSE($B$21,Turni!F14,Turni!I14,Turni!L14,Turni!O14,Turni!R14,Turni!U14,Turni!X14)*24,0)</f>
        <v>8.5</v>
      </c>
      <c r="AT33" s="182" t="n">
        <f aca="false">IF(AND(ISNUMBER(CHOOSE($B$21,Turni!F14,Turni!I14,Turni!L14,Turni!O14,Turni!R14,Turni!U14,Turni!X14)),ISNUMBER(CHOOSE($B$21,Turni!G14,Turni!J14,Turni!M14,Turni!P14,Turni!S14,Turni!V14,Turni!Y14))),(CHOOSE($B$21,Turni!G14,Turni!J14,Turni!M14,Turni!P14,Turni!S14,Turni!V14,Turni!Y14)-CHOOSE($B$21,Turni!F14,Turni!I14,Turni!L14,Turni!O14,Turni!R14,Turni!U14,Turni!X14))*24,0)</f>
        <v>6</v>
      </c>
    </row>
    <row r="34" customFormat="false" ht="15" hidden="false" customHeight="true" outlineLevel="0" collapsed="false">
      <c r="AN34" s="178" t="n">
        <f aca="false">Copertura!$A$16</f>
        <v>0.333333333333333</v>
      </c>
      <c r="AO34" s="179" t="n">
        <f aca="false">CHOOSE($B$21,Copertura!C16,Copertura!G16,Copertura!K16,Copertura!O16,Copertura!S16,Copertura!W16,Copertura!AA16)</f>
        <v>5</v>
      </c>
      <c r="AP34" s="179" t="n">
        <f aca="false">CHOOSE($B$21,Copertura!E16,Copertura!I16,Copertura!M16,Copertura!Q16,Copertura!U16,Copertura!Y16,Copertura!AC16)</f>
        <v>5</v>
      </c>
      <c r="AR34" s="180" t="str">
        <f aca="false">Turni!$A$15</f>
        <v>CHIERZI</v>
      </c>
      <c r="AS34" s="181" t="n">
        <f aca="false">IF(ISNUMBER(CHOOSE($B$21,Turni!F15,Turni!I15,Turni!L15,Turni!O15,Turni!R15,Turni!U15,Turni!X15)),CHOOSE($B$21,Turni!F15,Turni!I15,Turni!L15,Turni!O15,Turni!R15,Turni!U15,Turni!X15)*24,0)</f>
        <v>0</v>
      </c>
      <c r="AT34" s="182" t="n">
        <f aca="false">IF(AND(ISNUMBER(CHOOSE($B$21,Turni!F15,Turni!I15,Turni!L15,Turni!O15,Turni!R15,Turni!U15,Turni!X15)),ISNUMBER(CHOOSE($B$21,Turni!G15,Turni!J15,Turni!M15,Turni!P15,Turni!S15,Turni!V15,Turni!Y15))),(CHOOSE($B$21,Turni!G15,Turni!J15,Turni!M15,Turni!P15,Turni!S15,Turni!V15,Turni!Y15)-CHOOSE($B$21,Turni!F15,Turni!I15,Turni!L15,Turni!O15,Turni!R15,Turni!U15,Turni!X15))*24,0)</f>
        <v>0</v>
      </c>
    </row>
    <row r="35" customFormat="false" ht="15" hidden="false" customHeight="true" outlineLevel="0" collapsed="false">
      <c r="AN35" s="178" t="n">
        <f aca="false">Copertura!$A$17</f>
        <v>0.34375</v>
      </c>
      <c r="AO35" s="179" t="n">
        <f aca="false">CHOOSE($B$21,Copertura!C17,Copertura!G17,Copertura!K17,Copertura!O17,Copertura!S17,Copertura!W17,Copertura!AA17)</f>
        <v>5</v>
      </c>
      <c r="AP35" s="179" t="n">
        <f aca="false">CHOOSE($B$21,Copertura!E17,Copertura!I17,Copertura!M17,Copertura!Q17,Copertura!U17,Copertura!Y17,Copertura!AC17)</f>
        <v>5</v>
      </c>
      <c r="AR35" s="180" t="str">
        <f aca="false">Turni!$A$16</f>
        <v>BUGRYM</v>
      </c>
      <c r="AS35" s="181" t="n">
        <f aca="false">IF(ISNUMBER(CHOOSE($B$21,Turni!F16,Turni!I16,Turni!L16,Turni!O16,Turni!R16,Turni!U16,Turni!X16)),CHOOSE($B$21,Turni!F16,Turni!I16,Turni!L16,Turni!O16,Turni!R16,Turni!U16,Turni!X16)*24,0)</f>
        <v>14.75</v>
      </c>
      <c r="AT35" s="182" t="n">
        <f aca="false">IF(AND(ISNUMBER(CHOOSE($B$21,Turni!F16,Turni!I16,Turni!L16,Turni!O16,Turni!R16,Turni!U16,Turni!X16)),ISNUMBER(CHOOSE($B$21,Turni!G16,Turni!J16,Turni!M16,Turni!P16,Turni!S16,Turni!V16,Turni!Y16))),(CHOOSE($B$21,Turni!G16,Turni!J16,Turni!M16,Turni!P16,Turni!S16,Turni!V16,Turni!Y16)-CHOOSE($B$21,Turni!F16,Turni!I16,Turni!L16,Turni!O16,Turni!R16,Turni!U16,Turni!X16))*24,0)</f>
        <v>6.5</v>
      </c>
    </row>
    <row r="36" customFormat="false" ht="15" hidden="false" customHeight="true" outlineLevel="0" collapsed="false">
      <c r="AN36" s="178" t="n">
        <f aca="false">Copertura!$A$18</f>
        <v>0.354166666666667</v>
      </c>
      <c r="AO36" s="179" t="n">
        <f aca="false">CHOOSE($B$21,Copertura!C18,Copertura!G18,Copertura!K18,Copertura!O18,Copertura!S18,Copertura!W18,Copertura!AA18)</f>
        <v>6</v>
      </c>
      <c r="AP36" s="179" t="n">
        <f aca="false">CHOOSE($B$21,Copertura!E18,Copertura!I18,Copertura!M18,Copertura!Q18,Copertura!U18,Copertura!Y18,Copertura!AC18)</f>
        <v>5</v>
      </c>
      <c r="AR36" s="180" t="str">
        <f aca="false">Turni!$A$17</f>
        <v>DAL ZOT</v>
      </c>
      <c r="AS36" s="181" t="n">
        <f aca="false">IF(ISNUMBER(CHOOSE($B$21,Turni!F17,Turni!I17,Turni!L17,Turni!O17,Turni!R17,Turni!U17,Turni!X17)),CHOOSE($B$21,Turni!F17,Turni!I17,Turni!L17,Turni!O17,Turni!R17,Turni!U17,Turni!X17)*24,0)</f>
        <v>16.25</v>
      </c>
      <c r="AT36" s="182" t="n">
        <f aca="false">IF(AND(ISNUMBER(CHOOSE($B$21,Turni!F17,Turni!I17,Turni!L17,Turni!O17,Turni!R17,Turni!U17,Turni!X17)),ISNUMBER(CHOOSE($B$21,Turni!G17,Turni!J17,Turni!M17,Turni!P17,Turni!S17,Turni!V17,Turni!Y17))),(CHOOSE($B$21,Turni!G17,Turni!J17,Turni!M17,Turni!P17,Turni!S17,Turni!V17,Turni!Y17)-CHOOSE($B$21,Turni!F17,Turni!I17,Turni!L17,Turni!O17,Turni!R17,Turni!U17,Turni!X17))*24,0)</f>
        <v>5</v>
      </c>
    </row>
    <row r="37" customFormat="false" ht="15" hidden="false" customHeight="true" outlineLevel="0" collapsed="false">
      <c r="AN37" s="178" t="n">
        <f aca="false">Copertura!$A$19</f>
        <v>0.364583333333333</v>
      </c>
      <c r="AO37" s="179" t="n">
        <f aca="false">CHOOSE($B$21,Copertura!C19,Copertura!G19,Copertura!K19,Copertura!O19,Copertura!S19,Copertura!W19,Copertura!AA19)</f>
        <v>6</v>
      </c>
      <c r="AP37" s="179" t="n">
        <f aca="false">CHOOSE($B$21,Copertura!E19,Copertura!I19,Copertura!M19,Copertura!Q19,Copertura!U19,Copertura!Y19,Copertura!AC19)</f>
        <v>5</v>
      </c>
      <c r="AR37" s="180" t="str">
        <f aca="false">Turni!$A$18</f>
        <v>DE NARDIN</v>
      </c>
      <c r="AS37" s="181" t="n">
        <f aca="false">IF(ISNUMBER(CHOOSE($B$21,Turni!F18,Turni!I18,Turni!L18,Turni!O18,Turni!R18,Turni!U18,Turni!X18)),CHOOSE($B$21,Turni!F18,Turni!I18,Turni!L18,Turni!O18,Turni!R18,Turni!U18,Turni!X18)*24,0)</f>
        <v>6</v>
      </c>
      <c r="AT37" s="182" t="n">
        <f aca="false">IF(AND(ISNUMBER(CHOOSE($B$21,Turni!F18,Turni!I18,Turni!L18,Turni!O18,Turni!R18,Turni!U18,Turni!X18)),ISNUMBER(CHOOSE($B$21,Turni!G18,Turni!J18,Turni!M18,Turni!P18,Turni!S18,Turni!V18,Turni!Y18))),(CHOOSE($B$21,Turni!G18,Turni!J18,Turni!M18,Turni!P18,Turni!S18,Turni!V18,Turni!Y18)-CHOOSE($B$21,Turni!F18,Turni!I18,Turni!L18,Turni!O18,Turni!R18,Turni!U18,Turni!X18))*24,0)</f>
        <v>5.5</v>
      </c>
    </row>
    <row r="38" customFormat="false" ht="15" hidden="false" customHeight="true" outlineLevel="0" collapsed="false">
      <c r="AN38" s="178" t="n">
        <f aca="false">Copertura!$A$20</f>
        <v>0.375</v>
      </c>
      <c r="AO38" s="179" t="n">
        <f aca="false">CHOOSE($B$21,Copertura!C20,Copertura!G20,Copertura!K20,Copertura!O20,Copertura!S20,Copertura!W20,Copertura!AA20)</f>
        <v>6</v>
      </c>
      <c r="AP38" s="179" t="n">
        <f aca="false">CHOOSE($B$21,Copertura!E20,Copertura!I20,Copertura!M20,Copertura!Q20,Copertura!U20,Copertura!Y20,Copertura!AC20)</f>
        <v>6</v>
      </c>
      <c r="AR38" s="180" t="str">
        <f aca="false">Turni!$A$19</f>
        <v>DE VIDO</v>
      </c>
      <c r="AS38" s="181" t="n">
        <f aca="false">IF(ISNUMBER(CHOOSE($B$21,Turni!F19,Turni!I19,Turni!L19,Turni!O19,Turni!R19,Turni!U19,Turni!X19)),CHOOSE($B$21,Turni!F19,Turni!I19,Turni!L19,Turni!O19,Turni!R19,Turni!U19,Turni!X19)*24,0)</f>
        <v>6</v>
      </c>
      <c r="AT38" s="182" t="n">
        <f aca="false">IF(AND(ISNUMBER(CHOOSE($B$21,Turni!F19,Turni!I19,Turni!L19,Turni!O19,Turni!R19,Turni!U19,Turni!X19)),ISNUMBER(CHOOSE($B$21,Turni!G19,Turni!J19,Turni!M19,Turni!P19,Turni!S19,Turni!V19,Turni!Y19))),(CHOOSE($B$21,Turni!G19,Turni!J19,Turni!M19,Turni!P19,Turni!S19,Turni!V19,Turni!Y19)-CHOOSE($B$21,Turni!F19,Turni!I19,Turni!L19,Turni!O19,Turni!R19,Turni!U19,Turni!X19))*24,0)</f>
        <v>7</v>
      </c>
    </row>
    <row r="39" customFormat="false" ht="15" hidden="false" customHeight="true" outlineLevel="0" collapsed="false">
      <c r="AN39" s="178" t="n">
        <f aca="false">Copertura!$A$21</f>
        <v>0.385416666666667</v>
      </c>
      <c r="AO39" s="179" t="n">
        <f aca="false">CHOOSE($B$21,Copertura!C21,Copertura!G21,Copertura!K21,Copertura!O21,Copertura!S21,Copertura!W21,Copertura!AA21)</f>
        <v>6</v>
      </c>
      <c r="AP39" s="179" t="n">
        <f aca="false">CHOOSE($B$21,Copertura!E21,Copertura!I21,Copertura!M21,Copertura!Q21,Copertura!U21,Copertura!Y21,Copertura!AC21)</f>
        <v>6</v>
      </c>
      <c r="AR39" s="180" t="str">
        <f aca="false">Turni!$A$20</f>
        <v>GALLINA</v>
      </c>
      <c r="AS39" s="181" t="n">
        <f aca="false">IF(ISNUMBER(CHOOSE($B$21,Turni!F20,Turni!I20,Turni!L20,Turni!O20,Turni!R20,Turni!U20,Turni!X20)),CHOOSE($B$21,Turni!F20,Turni!I20,Turni!L20,Turni!O20,Turni!R20,Turni!U20,Turni!X20)*24,0)</f>
        <v>0</v>
      </c>
      <c r="AT39" s="182" t="n">
        <f aca="false">IF(AND(ISNUMBER(CHOOSE($B$21,Turni!F20,Turni!I20,Turni!L20,Turni!O20,Turni!R20,Turni!U20,Turni!X20)),ISNUMBER(CHOOSE($B$21,Turni!G20,Turni!J20,Turni!M20,Turni!P20,Turni!S20,Turni!V20,Turni!Y20))),(CHOOSE($B$21,Turni!G20,Turni!J20,Turni!M20,Turni!P20,Turni!S20,Turni!V20,Turni!Y20)-CHOOSE($B$21,Turni!F20,Turni!I20,Turni!L20,Turni!O20,Turni!R20,Turni!U20,Turni!X20))*24,0)</f>
        <v>0</v>
      </c>
    </row>
    <row r="40" customFormat="false" ht="15" hidden="false" customHeight="true" outlineLevel="0" collapsed="false">
      <c r="AN40" s="178" t="n">
        <f aca="false">Copertura!$A$22</f>
        <v>0.395833333333333</v>
      </c>
      <c r="AO40" s="179" t="n">
        <f aca="false">CHOOSE($B$21,Copertura!C22,Copertura!G22,Copertura!K22,Copertura!O22,Copertura!S22,Copertura!W22,Copertura!AA22)</f>
        <v>6</v>
      </c>
      <c r="AP40" s="179" t="n">
        <f aca="false">CHOOSE($B$21,Copertura!E22,Copertura!I22,Copertura!M22,Copertura!Q22,Copertura!U22,Copertura!Y22,Copertura!AC22)</f>
        <v>6</v>
      </c>
      <c r="AR40" s="180" t="str">
        <f aca="false">Turni!$A$21</f>
        <v>MARZANO</v>
      </c>
      <c r="AS40" s="181" t="n">
        <f aca="false">IF(ISNUMBER(CHOOSE($B$21,Turni!F21,Turni!I21,Turni!L21,Turni!O21,Turni!R21,Turni!U21,Turni!X21)),CHOOSE($B$21,Turni!F21,Turni!I21,Turni!L21,Turni!O21,Turni!R21,Turni!U21,Turni!X21)*24,0)</f>
        <v>0</v>
      </c>
      <c r="AT40" s="182" t="n">
        <f aca="false">IF(AND(ISNUMBER(CHOOSE($B$21,Turni!F21,Turni!I21,Turni!L21,Turni!O21,Turni!R21,Turni!U21,Turni!X21)),ISNUMBER(CHOOSE($B$21,Turni!G21,Turni!J21,Turni!M21,Turni!P21,Turni!S21,Turni!V21,Turni!Y21))),(CHOOSE($B$21,Turni!G21,Turni!J21,Turni!M21,Turni!P21,Turni!S21,Turni!V21,Turni!Y21)-CHOOSE($B$21,Turni!F21,Turni!I21,Turni!L21,Turni!O21,Turni!R21,Turni!U21,Turni!X21))*24,0)</f>
        <v>0</v>
      </c>
    </row>
    <row r="41" customFormat="false" ht="15" hidden="false" customHeight="true" outlineLevel="0" collapsed="false">
      <c r="AN41" s="178" t="n">
        <f aca="false">Copertura!$A$23</f>
        <v>0.40625</v>
      </c>
      <c r="AO41" s="179" t="n">
        <f aca="false">CHOOSE($B$21,Copertura!C23,Copertura!G23,Copertura!K23,Copertura!O23,Copertura!S23,Copertura!W23,Copertura!AA23)</f>
        <v>6</v>
      </c>
      <c r="AP41" s="179" t="n">
        <f aca="false">CHOOSE($B$21,Copertura!E23,Copertura!I23,Copertura!M23,Copertura!Q23,Copertura!U23,Copertura!Y23,Copertura!AC23)</f>
        <v>6</v>
      </c>
      <c r="AR41" s="180" t="str">
        <f aca="false">Turni!$A$22</f>
        <v>RIGONI</v>
      </c>
      <c r="AS41" s="181" t="n">
        <f aca="false">IF(ISNUMBER(CHOOSE($B$21,Turni!F22,Turni!I22,Turni!L22,Turni!O22,Turni!R22,Turni!U22,Turni!X22)),CHOOSE($B$21,Turni!F22,Turni!I22,Turni!L22,Turni!O22,Turni!R22,Turni!U22,Turni!X22)*24,0)</f>
        <v>6</v>
      </c>
      <c r="AT41" s="182" t="n">
        <f aca="false">IF(AND(ISNUMBER(CHOOSE($B$21,Turni!F22,Turni!I22,Turni!L22,Turni!O22,Turni!R22,Turni!U22,Turni!X22)),ISNUMBER(CHOOSE($B$21,Turni!G22,Turni!J22,Turni!M22,Turni!P22,Turni!S22,Turni!V22,Turni!Y22))),(CHOOSE($B$21,Turni!G22,Turni!J22,Turni!M22,Turni!P22,Turni!S22,Turni!V22,Turni!Y22)-CHOOSE($B$21,Turni!F22,Turni!I22,Turni!L22,Turni!O22,Turni!R22,Turni!U22,Turni!X22))*24,0)</f>
        <v>5</v>
      </c>
    </row>
    <row r="42" customFormat="false" ht="15" hidden="false" customHeight="true" outlineLevel="0" collapsed="false">
      <c r="AN42" s="178" t="n">
        <f aca="false">Copertura!$A$24</f>
        <v>0.416666666666667</v>
      </c>
      <c r="AO42" s="179" t="n">
        <f aca="false">CHOOSE($B$21,Copertura!C24,Copertura!G24,Copertura!K24,Copertura!O24,Copertura!S24,Copertura!W24,Copertura!AA24)</f>
        <v>6</v>
      </c>
      <c r="AP42" s="179" t="n">
        <f aca="false">CHOOSE($B$21,Copertura!E24,Copertura!I24,Copertura!M24,Copertura!Q24,Copertura!U24,Copertura!Y24,Copertura!AC24)</f>
        <v>5</v>
      </c>
      <c r="AR42" s="180" t="str">
        <f aca="false">Turni!$A$23</f>
        <v>SCHENA</v>
      </c>
      <c r="AS42" s="181" t="n">
        <f aca="false">IF(ISNUMBER(CHOOSE($B$21,Turni!F23,Turni!I23,Turni!L23,Turni!O23,Turni!R23,Turni!U23,Turni!X23)),CHOOSE($B$21,Turni!F23,Turni!I23,Turni!L23,Turni!O23,Turni!R23,Turni!U23,Turni!X23)*24,0)</f>
        <v>0</v>
      </c>
      <c r="AT42" s="182" t="n">
        <f aca="false">IF(AND(ISNUMBER(CHOOSE($B$21,Turni!F23,Turni!I23,Turni!L23,Turni!O23,Turni!R23,Turni!U23,Turni!X23)),ISNUMBER(CHOOSE($B$21,Turni!G23,Turni!J23,Turni!M23,Turni!P23,Turni!S23,Turni!V23,Turni!Y23))),(CHOOSE($B$21,Turni!G23,Turni!J23,Turni!M23,Turni!P23,Turni!S23,Turni!V23,Turni!Y23)-CHOOSE($B$21,Turni!F23,Turni!I23,Turni!L23,Turni!O23,Turni!R23,Turni!U23,Turni!X23))*24,0)</f>
        <v>0</v>
      </c>
    </row>
    <row r="43" customFormat="false" ht="15" hidden="false" customHeight="true" outlineLevel="0" collapsed="false">
      <c r="AN43" s="178" t="n">
        <f aca="false">Copertura!$A$25</f>
        <v>0.427083333333333</v>
      </c>
      <c r="AO43" s="179" t="n">
        <f aca="false">CHOOSE($B$21,Copertura!C25,Copertura!G25,Copertura!K25,Copertura!O25,Copertura!S25,Copertura!W25,Copertura!AA25)</f>
        <v>6</v>
      </c>
      <c r="AP43" s="179" t="n">
        <f aca="false">CHOOSE($B$21,Copertura!E25,Copertura!I25,Copertura!M25,Copertura!Q25,Copertura!U25,Copertura!Y25,Copertura!AC25)</f>
        <v>5</v>
      </c>
      <c r="AR43" s="180" t="str">
        <f aca="false">Turni!$A$24</f>
        <v>TAMBURLIN</v>
      </c>
      <c r="AS43" s="181" t="n">
        <f aca="false">IF(ISNUMBER(CHOOSE($B$21,Turni!F24,Turni!I24,Turni!L24,Turni!O24,Turni!R24,Turni!U24,Turni!X24)),CHOOSE($B$21,Turni!F24,Turni!I24,Turni!L24,Turni!O24,Turni!R24,Turni!U24,Turni!X24)*24,0)</f>
        <v>0</v>
      </c>
      <c r="AT43" s="182" t="n">
        <f aca="false">IF(AND(ISNUMBER(CHOOSE($B$21,Turni!F24,Turni!I24,Turni!L24,Turni!O24,Turni!R24,Turni!U24,Turni!X24)),ISNUMBER(CHOOSE($B$21,Turni!G24,Turni!J24,Turni!M24,Turni!P24,Turni!S24,Turni!V24,Turni!Y24))),(CHOOSE($B$21,Turni!G24,Turni!J24,Turni!M24,Turni!P24,Turni!S24,Turni!V24,Turni!Y24)-CHOOSE($B$21,Turni!F24,Turni!I24,Turni!L24,Turni!O24,Turni!R24,Turni!U24,Turni!X24))*24,0)</f>
        <v>0</v>
      </c>
    </row>
    <row r="44" customFormat="false" ht="15" hidden="false" customHeight="true" outlineLevel="0" collapsed="false">
      <c r="AN44" s="178" t="n">
        <f aca="false">Copertura!$A$26</f>
        <v>0.4375</v>
      </c>
      <c r="AO44" s="179" t="n">
        <f aca="false">CHOOSE($B$21,Copertura!C26,Copertura!G26,Copertura!K26,Copertura!O26,Copertura!S26,Copertura!W26,Copertura!AA26)</f>
        <v>6</v>
      </c>
      <c r="AP44" s="179" t="n">
        <f aca="false">CHOOSE($B$21,Copertura!E26,Copertura!I26,Copertura!M26,Copertura!Q26,Copertura!U26,Copertura!Y26,Copertura!AC26)</f>
        <v>5</v>
      </c>
      <c r="AR44" s="180" t="e">
        <f aca="false">#REF!</f>
        <v>#REF!</v>
      </c>
      <c r="AS44" s="181" t="n">
        <f aca="false">IF(ISNUMBER(CHOOSE($B$21,#REF!,#REF!,#REF!,#REF!,#REF!,#REF!,#REF!)),CHOOSE($B$21,#REF!,#REF!,#REF!,#REF!,#REF!,#REF!,#REF!)*24,0)</f>
        <v>0</v>
      </c>
      <c r="AT44" s="182" t="n">
        <f aca="false">IF(AND(ISNUMBER(CHOOSE($B$21,#REF!,#REF!,#REF!,#REF!,#REF!,#REF!,#REF!)),ISNUMBER(CHOOSE($B$21,#REF!,#REF!,#REF!,#REF!,#REF!,#REF!,#REF!))),(CHOOSE($B$21,#REF!,#REF!,#REF!,#REF!,#REF!,#REF!,#REF!)-CHOOSE($B$21,#REF!,#REF!,#REF!,#REF!,#REF!,#REF!,#REF!))*24,0)</f>
        <v>0</v>
      </c>
    </row>
    <row r="45" customFormat="false" ht="15" hidden="false" customHeight="true" outlineLevel="0" collapsed="false">
      <c r="AN45" s="178" t="n">
        <f aca="false">Copertura!$A$27</f>
        <v>0.447916666666667</v>
      </c>
      <c r="AO45" s="179" t="n">
        <f aca="false">CHOOSE($B$21,Copertura!C27,Copertura!G27,Copertura!K27,Copertura!O27,Copertura!S27,Copertura!W27,Copertura!AA27)</f>
        <v>6</v>
      </c>
      <c r="AP45" s="179" t="n">
        <f aca="false">CHOOSE($B$21,Copertura!E27,Copertura!I27,Copertura!M27,Copertura!Q27,Copertura!U27,Copertura!Y27,Copertura!AC27)</f>
        <v>5</v>
      </c>
      <c r="AR45" s="180" t="str">
        <f aca="false">Turni!$A$27</f>
        <v>Totale</v>
      </c>
      <c r="AS45" s="181" t="n">
        <f aca="false">IF(ISNUMBER(CHOOSE($B$21,Turni!F27,Turni!I27,Turni!L27,Turni!O27,Turni!R27,Turni!U27,Turni!X27)),CHOOSE($B$21,Turni!F27,Turni!I27,Turni!L27,Turni!O27,Turni!R27,Turni!U27,Turni!X27)*24,0)</f>
        <v>0</v>
      </c>
      <c r="AT45" s="182" t="n">
        <f aca="false">IF(AND(ISNUMBER(CHOOSE($B$21,Turni!F27,Turni!I27,Turni!L27,Turni!O27,Turni!R27,Turni!U27,Turni!X27)),ISNUMBER(CHOOSE($B$21,Turni!G27,Turni!J27,Turni!M27,Turni!P27,Turni!S27,Turni!V27,Turni!Y27))),(CHOOSE($B$21,Turni!G27,Turni!J27,Turni!M27,Turni!P27,Turni!S27,Turni!V27,Turni!Y27)-CHOOSE($B$21,Turni!F27,Turni!I27,Turni!L27,Turni!O27,Turni!R27,Turni!U27,Turni!X27))*24,0)</f>
        <v>0</v>
      </c>
    </row>
    <row r="46" customFormat="false" ht="15" hidden="false" customHeight="true" outlineLevel="0" collapsed="false">
      <c r="AN46" s="178" t="n">
        <f aca="false">Copertura!$A$28</f>
        <v>0.458333333333333</v>
      </c>
      <c r="AO46" s="179" t="n">
        <f aca="false">CHOOSE($B$21,Copertura!C28,Copertura!G28,Copertura!K28,Copertura!O28,Copertura!S28,Copertura!W28,Copertura!AA28)</f>
        <v>5</v>
      </c>
      <c r="AP46" s="179" t="n">
        <f aca="false">CHOOSE($B$21,Copertura!E28,Copertura!I28,Copertura!M28,Copertura!Q28,Copertura!U28,Copertura!Y28,Copertura!AC28)</f>
        <v>5</v>
      </c>
    </row>
    <row r="47" customFormat="false" ht="15" hidden="false" customHeight="true" outlineLevel="0" collapsed="false">
      <c r="AN47" s="178" t="n">
        <f aca="false">Copertura!$A$29</f>
        <v>0.46875</v>
      </c>
      <c r="AO47" s="179" t="n">
        <f aca="false">CHOOSE($B$21,Copertura!C29,Copertura!G29,Copertura!K29,Copertura!O29,Copertura!S29,Copertura!W29,Copertura!AA29)</f>
        <v>5</v>
      </c>
      <c r="AP47" s="179" t="n">
        <f aca="false">CHOOSE($B$21,Copertura!E29,Copertura!I29,Copertura!M29,Copertura!Q29,Copertura!U29,Copertura!Y29,Copertura!AC29)</f>
        <v>5</v>
      </c>
    </row>
    <row r="48" customFormat="false" ht="15.75" hidden="false" customHeight="true" outlineLevel="0" collapsed="false">
      <c r="B48" s="167" t="s">
        <v>372</v>
      </c>
      <c r="AN48" s="178" t="n">
        <f aca="false">Copertura!$A$30</f>
        <v>0.479166666666667</v>
      </c>
      <c r="AO48" s="179" t="n">
        <f aca="false">CHOOSE($B$21,Copertura!C30,Copertura!G30,Copertura!K30,Copertura!O30,Copertura!S30,Copertura!W30,Copertura!AA30)</f>
        <v>5</v>
      </c>
      <c r="AP48" s="179" t="n">
        <f aca="false">CHOOSE($B$21,Copertura!E30,Copertura!I30,Copertura!M30,Copertura!Q30,Copertura!U30,Copertura!Y30,Copertura!AC30)</f>
        <v>5</v>
      </c>
    </row>
    <row r="49" customFormat="false" ht="15" hidden="false" customHeight="true" outlineLevel="0" collapsed="false">
      <c r="B49" s="166" t="s">
        <v>373</v>
      </c>
      <c r="AN49" s="178" t="n">
        <f aca="false">Copertura!$A$31</f>
        <v>0.489583333333333</v>
      </c>
      <c r="AO49" s="179" t="n">
        <f aca="false">CHOOSE($B$21,Copertura!C31,Copertura!G31,Copertura!K31,Copertura!O31,Copertura!S31,Copertura!W31,Copertura!AA31)</f>
        <v>5</v>
      </c>
      <c r="AP49" s="179" t="n">
        <f aca="false">CHOOSE($B$21,Copertura!E31,Copertura!I31,Copertura!M31,Copertura!Q31,Copertura!U31,Copertura!Y31,Copertura!AC31)</f>
        <v>5</v>
      </c>
    </row>
    <row r="50" customFormat="false" ht="15" hidden="false" customHeight="true" outlineLevel="0" collapsed="false">
      <c r="B50" s="183" t="s">
        <v>147</v>
      </c>
      <c r="C50" s="184"/>
      <c r="D50" s="183" t="s">
        <v>374</v>
      </c>
      <c r="AN50" s="178" t="n">
        <f aca="false">Copertura!$A$32</f>
        <v>0.5</v>
      </c>
      <c r="AO50" s="179" t="n">
        <f aca="false">CHOOSE($B$21,Copertura!C32,Copertura!G32,Copertura!K32,Copertura!O32,Copertura!S32,Copertura!W32,Copertura!AA32)</f>
        <v>4</v>
      </c>
      <c r="AP50" s="179" t="n">
        <f aca="false">CHOOSE($B$21,Copertura!E32,Copertura!I32,Copertura!M32,Copertura!Q32,Copertura!U32,Copertura!Y32,Copertura!AC32)</f>
        <v>4</v>
      </c>
    </row>
    <row r="51" customFormat="false" ht="15" hidden="false" customHeight="true" outlineLevel="0" collapsed="false">
      <c r="B51" s="185" t="s">
        <v>375</v>
      </c>
      <c r="D51" s="186" t="n">
        <f aca="false">Personale!$C$41</f>
        <v>504</v>
      </c>
      <c r="AN51" s="178" t="n">
        <f aca="false">Copertura!$A$33</f>
        <v>0.510416666666667</v>
      </c>
      <c r="AO51" s="179" t="n">
        <f aca="false">CHOOSE($B$21,Copertura!C33,Copertura!G33,Copertura!K33,Copertura!O33,Copertura!S33,Copertura!W33,Copertura!AA33)</f>
        <v>4</v>
      </c>
      <c r="AP51" s="179" t="n">
        <f aca="false">CHOOSE($B$21,Copertura!E33,Copertura!I33,Copertura!M33,Copertura!Q33,Copertura!U33,Copertura!Y33,Copertura!AC33)</f>
        <v>4</v>
      </c>
    </row>
    <row r="52" customFormat="false" ht="15" hidden="false" customHeight="true" outlineLevel="0" collapsed="false">
      <c r="B52" s="185" t="s">
        <v>376</v>
      </c>
      <c r="D52" s="187" t="str">
        <f aca="false">Personale!$H$41</f>
        <v>5 ass.</v>
      </c>
      <c r="AN52" s="178" t="n">
        <f aca="false">Copertura!$A$34</f>
        <v>0.520833333333333</v>
      </c>
      <c r="AO52" s="179" t="n">
        <f aca="false">CHOOSE($B$21,Copertura!C34,Copertura!G34,Copertura!K34,Copertura!O34,Copertura!S34,Copertura!W34,Copertura!AA34)</f>
        <v>4</v>
      </c>
      <c r="AP52" s="179" t="n">
        <f aca="false">CHOOSE($B$21,Copertura!E34,Copertura!I34,Copertura!M34,Copertura!Q34,Copertura!U34,Copertura!Y34,Copertura!AC34)</f>
        <v>4</v>
      </c>
    </row>
    <row r="53" customFormat="false" ht="15" hidden="false" customHeight="true" outlineLevel="0" collapsed="false">
      <c r="B53" s="185" t="s">
        <v>377</v>
      </c>
      <c r="D53" s="188" t="n">
        <f aca="false">Personale!$I$41</f>
        <v>140</v>
      </c>
      <c r="AN53" s="178" t="n">
        <f aca="false">Copertura!$A$35</f>
        <v>0.53125</v>
      </c>
      <c r="AO53" s="179" t="n">
        <f aca="false">CHOOSE($B$21,Copertura!C35,Copertura!G35,Copertura!K35,Copertura!O35,Copertura!S35,Copertura!W35,Copertura!AA35)</f>
        <v>4</v>
      </c>
      <c r="AP53" s="179" t="n">
        <f aca="false">CHOOSE($B$21,Copertura!E35,Copertura!I35,Copertura!M35,Copertura!Q35,Copertura!U35,Copertura!Y35,Copertura!AC35)</f>
        <v>4</v>
      </c>
    </row>
    <row r="54" customFormat="false" ht="15" hidden="false" customHeight="true" outlineLevel="0" collapsed="false">
      <c r="B54" s="185" t="s">
        <v>378</v>
      </c>
      <c r="D54" s="186" t="n">
        <f aca="false">(Personale!$C$41-Personale!$I$41)</f>
        <v>364</v>
      </c>
      <c r="AN54" s="178" t="n">
        <f aca="false">Copertura!$A$36</f>
        <v>0.541666666666667</v>
      </c>
      <c r="AO54" s="179" t="n">
        <f aca="false">CHOOSE($B$21,Copertura!C36,Copertura!G36,Copertura!K36,Copertura!O36,Copertura!S36,Copertura!W36,Copertura!AA36)</f>
        <v>4</v>
      </c>
      <c r="AP54" s="179" t="n">
        <f aca="false">CHOOSE($B$21,Copertura!E36,Copertura!I36,Copertura!M36,Copertura!Q36,Copertura!U36,Copertura!Y36,Copertura!AC36)</f>
        <v>4</v>
      </c>
    </row>
    <row r="55" customFormat="false" ht="15" hidden="false" customHeight="true" outlineLevel="0" collapsed="false">
      <c r="B55" s="185" t="s">
        <v>379</v>
      </c>
      <c r="D55" s="186" t="n">
        <f aca="false">OreRichieste!$I$17</f>
        <v>553.766093084728</v>
      </c>
      <c r="AN55" s="178" t="n">
        <f aca="false">Copertura!$A$37</f>
        <v>0.552083333333333</v>
      </c>
      <c r="AO55" s="179" t="n">
        <f aca="false">CHOOSE($B$21,Copertura!C37,Copertura!G37,Copertura!K37,Copertura!O37,Copertura!S37,Copertura!W37,Copertura!AA37)</f>
        <v>4</v>
      </c>
      <c r="AP55" s="179" t="n">
        <f aca="false">CHOOSE($B$21,Copertura!E37,Copertura!I37,Copertura!M37,Copertura!Q37,Copertura!U37,Copertura!Y37,Copertura!AC37)</f>
        <v>4</v>
      </c>
    </row>
    <row r="56" customFormat="false" ht="15" hidden="false" customHeight="true" outlineLevel="0" collapsed="false">
      <c r="B56" s="185" t="s">
        <v>380</v>
      </c>
      <c r="D56" s="189" t="n">
        <f aca="false">(Personale!$C$41-Personale!$I$41)-OreRichieste!$I$17</f>
        <v>-189.766093084728</v>
      </c>
      <c r="AN56" s="178" t="n">
        <f aca="false">Copertura!$A$38</f>
        <v>0.5625</v>
      </c>
      <c r="AO56" s="179" t="n">
        <f aca="false">CHOOSE($B$21,Copertura!C38,Copertura!G38,Copertura!K38,Copertura!O38,Copertura!S38,Copertura!W38,Copertura!AA38)</f>
        <v>4</v>
      </c>
      <c r="AP56" s="179" t="n">
        <f aca="false">CHOOSE($B$21,Copertura!E38,Copertura!I38,Copertura!M38,Copertura!Q38,Copertura!U38,Copertura!Y38,Copertura!AC38)</f>
        <v>4</v>
      </c>
    </row>
    <row r="57" customFormat="false" ht="15" hidden="false" customHeight="true" outlineLevel="0" collapsed="false">
      <c r="B57" s="185" t="s">
        <v>381</v>
      </c>
      <c r="D57" s="190" t="n">
        <f aca="false">(Personale!$C$41-Personale!$I$41)/OreRichieste!$I$17</f>
        <v>0.657317240158847</v>
      </c>
      <c r="AN57" s="178" t="n">
        <f aca="false">Copertura!$A$39</f>
        <v>0.572916666666667</v>
      </c>
      <c r="AO57" s="179" t="n">
        <f aca="false">CHOOSE($B$21,Copertura!C39,Copertura!G39,Copertura!K39,Copertura!O39,Copertura!S39,Copertura!W39,Copertura!AA39)</f>
        <v>4</v>
      </c>
      <c r="AP57" s="179" t="n">
        <f aca="false">CHOOSE($B$21,Copertura!E39,Copertura!I39,Copertura!M39,Copertura!Q39,Copertura!U39,Copertura!Y39,Copertura!AC39)</f>
        <v>4</v>
      </c>
    </row>
    <row r="58" customFormat="false" ht="15" hidden="false" customHeight="true" outlineLevel="0" collapsed="false">
      <c r="AN58" s="178" t="n">
        <f aca="false">Copertura!$A$40</f>
        <v>0.583333333333333</v>
      </c>
      <c r="AO58" s="179" t="n">
        <f aca="false">CHOOSE($B$21,Copertura!C40,Copertura!G40,Copertura!K40,Copertura!O40,Copertura!S40,Copertura!W40,Copertura!AA40)</f>
        <v>4</v>
      </c>
      <c r="AP58" s="179" t="n">
        <f aca="false">CHOOSE($B$21,Copertura!E40,Copertura!I40,Copertura!M40,Copertura!Q40,Copertura!U40,Copertura!Y40,Copertura!AC40)</f>
        <v>4</v>
      </c>
    </row>
    <row r="59" customFormat="false" ht="15" hidden="false" customHeight="true" outlineLevel="0" collapsed="false">
      <c r="B59" s="191" t="s">
        <v>382</v>
      </c>
      <c r="AN59" s="178" t="n">
        <f aca="false">Copertura!$A$41</f>
        <v>0.59375</v>
      </c>
      <c r="AO59" s="179" t="n">
        <f aca="false">CHOOSE($B$21,Copertura!C41,Copertura!G41,Copertura!K41,Copertura!O41,Copertura!S41,Copertura!W41,Copertura!AA41)</f>
        <v>5</v>
      </c>
      <c r="AP59" s="179" t="n">
        <f aca="false">CHOOSE($B$21,Copertura!E41,Copertura!I41,Copertura!M41,Copertura!Q41,Copertura!U41,Copertura!Y41,Copertura!AC41)</f>
        <v>4</v>
      </c>
    </row>
    <row r="60" customFormat="false" ht="15" hidden="false" customHeight="true" outlineLevel="0" collapsed="false">
      <c r="B60" s="185" t="s">
        <v>383</v>
      </c>
      <c r="D60" s="192" t="n">
        <f aca="false">6-SUMPRODUCT(--(Personale!$B$5:$B$40="RESP"),--(Personale!$H$5:$H$40&lt;&gt;""))</f>
        <v>5</v>
      </c>
      <c r="AN60" s="178" t="n">
        <f aca="false">Copertura!$A$42</f>
        <v>0.604166666666667</v>
      </c>
      <c r="AO60" s="179" t="n">
        <f aca="false">CHOOSE($B$21,Copertura!C42,Copertura!G42,Copertura!K42,Copertura!O42,Copertura!S42,Copertura!W42,Copertura!AA42)</f>
        <v>4</v>
      </c>
      <c r="AP60" s="179" t="n">
        <f aca="false">CHOOSE($B$21,Copertura!E42,Copertura!I42,Copertura!M42,Copertura!Q42,Copertura!U42,Copertura!Y42,Copertura!AC42)</f>
        <v>4</v>
      </c>
    </row>
    <row r="61" customFormat="false" ht="15" hidden="false" customHeight="true" outlineLevel="0" collapsed="false">
      <c r="B61" s="185" t="s">
        <v>384</v>
      </c>
      <c r="D61" s="193" t="n">
        <f aca="false">IF($D$56&gt;=0,0,MIN(2,ROUNDUP(-$D$56/25,0)))</f>
        <v>2</v>
      </c>
      <c r="AN61" s="178" t="n">
        <f aca="false">Copertura!$A$43</f>
        <v>0.614583333333333</v>
      </c>
      <c r="AO61" s="179" t="n">
        <f aca="false">CHOOSE($B$21,Copertura!C43,Copertura!G43,Copertura!K43,Copertura!O43,Copertura!S43,Copertura!W43,Copertura!AA43)</f>
        <v>5</v>
      </c>
      <c r="AP61" s="179" t="n">
        <f aca="false">CHOOSE($B$21,Copertura!E43,Copertura!I43,Copertura!M43,Copertura!Q43,Copertura!U43,Copertura!Y43,Copertura!AC43)</f>
        <v>4</v>
      </c>
    </row>
    <row r="62" customFormat="false" ht="15" hidden="false" customHeight="true" outlineLevel="0" collapsed="false">
      <c r="B62" s="185" t="s">
        <v>385</v>
      </c>
      <c r="D62" s="194" t="n">
        <f aca="false">MAX(0,-$D$56-$D$61*25)</f>
        <v>139.766093084728</v>
      </c>
      <c r="AN62" s="178" t="n">
        <f aca="false">Copertura!$A$44</f>
        <v>0.625</v>
      </c>
      <c r="AO62" s="179" t="n">
        <f aca="false">CHOOSE($B$21,Copertura!C44,Copertura!G44,Copertura!K44,Copertura!O44,Copertura!S44,Copertura!W44,Copertura!AA44)</f>
        <v>6</v>
      </c>
      <c r="AP62" s="179" t="n">
        <f aca="false">CHOOSE($B$21,Copertura!E44,Copertura!I44,Copertura!M44,Copertura!Q44,Copertura!U44,Copertura!Y44,Copertura!AC44)</f>
        <v>5</v>
      </c>
    </row>
    <row r="63" customFormat="false" ht="15" hidden="false" customHeight="true" outlineLevel="0" collapsed="false">
      <c r="AN63" s="178" t="n">
        <f aca="false">Copertura!$A$45</f>
        <v>0.635416666666667</v>
      </c>
      <c r="AO63" s="179" t="n">
        <f aca="false">CHOOSE($B$21,Copertura!C45,Copertura!G45,Copertura!K45,Copertura!O45,Copertura!S45,Copertura!W45,Copertura!AA45)</f>
        <v>6</v>
      </c>
      <c r="AP63" s="179" t="n">
        <f aca="false">CHOOSE($B$21,Copertura!E45,Copertura!I45,Copertura!M45,Copertura!Q45,Copertura!U45,Copertura!Y45,Copertura!AC45)</f>
        <v>5</v>
      </c>
    </row>
    <row r="64" customFormat="false" ht="15" hidden="false" customHeight="true" outlineLevel="0" collapsed="false">
      <c r="B64" s="195" t="s">
        <v>386</v>
      </c>
      <c r="D64" s="196" t="str">
        <f aca="false">IF(AND($D$60&lt;2,TRUE()),"CRITICO: &lt;2 responsabili",IF($D$56&gt;=0,"OK: reggi senza interventi",IF($D$62=0,"JOLLY: chiama "&amp;$D$61&amp;" jolly, poi ok",IF($D$62&lt;=40,"JOLLY + STRAORD: "&amp;$D$61&amp;" jolly + "&amp;TEXT($D$62,"0.0")&amp;"h OT","CRITICO: deficit "&amp;TEXT(-$D$56,"0")&amp;"h oltre la capacita"))))</f>
        <v>CRITICO: deficit 190h oltre la capacita</v>
      </c>
      <c r="E64" s="196"/>
      <c r="F64" s="196"/>
      <c r="G64" s="196"/>
      <c r="H64" s="196"/>
      <c r="I64" s="196"/>
      <c r="J64" s="196"/>
      <c r="AN64" s="178" t="n">
        <f aca="false">Copertura!$A$46</f>
        <v>0.645833333333333</v>
      </c>
      <c r="AO64" s="179" t="n">
        <f aca="false">CHOOSE($B$21,Copertura!C46,Copertura!G46,Copertura!K46,Copertura!O46,Copertura!S46,Copertura!W46,Copertura!AA46)</f>
        <v>5</v>
      </c>
      <c r="AP64" s="179" t="n">
        <f aca="false">CHOOSE($B$21,Copertura!E46,Copertura!I46,Copertura!M46,Copertura!Q46,Copertura!U46,Copertura!Y46,Copertura!AC46)</f>
        <v>5</v>
      </c>
    </row>
    <row r="65" customFormat="false" ht="15" hidden="false" customHeight="true" outlineLevel="0" collapsed="false">
      <c r="AN65" s="178" t="n">
        <f aca="false">Copertura!$A$47</f>
        <v>0.65625</v>
      </c>
      <c r="AO65" s="179" t="n">
        <f aca="false">CHOOSE($B$21,Copertura!C47,Copertura!G47,Copertura!K47,Copertura!O47,Copertura!S47,Copertura!W47,Copertura!AA47)</f>
        <v>5</v>
      </c>
      <c r="AP65" s="179" t="n">
        <f aca="false">CHOOSE($B$21,Copertura!E47,Copertura!I47,Copertura!M47,Copertura!Q47,Copertura!U47,Copertura!Y47,Copertura!AC47)</f>
        <v>5</v>
      </c>
    </row>
    <row r="66" customFormat="false" ht="15" hidden="false" customHeight="true" outlineLevel="0" collapsed="false">
      <c r="B66" s="166" t="s">
        <v>387</v>
      </c>
      <c r="AN66" s="178" t="n">
        <f aca="false">Copertura!$A$48</f>
        <v>0.666666666666667</v>
      </c>
      <c r="AO66" s="179" t="n">
        <f aca="false">CHOOSE($B$21,Copertura!C48,Copertura!G48,Copertura!K48,Copertura!O48,Copertura!S48,Copertura!W48,Copertura!AA48)</f>
        <v>5</v>
      </c>
      <c r="AP66" s="179" t="n">
        <f aca="false">CHOOSE($B$21,Copertura!E48,Copertura!I48,Copertura!M48,Copertura!Q48,Copertura!U48,Copertura!Y48,Copertura!AC48)</f>
        <v>5</v>
      </c>
    </row>
    <row r="67" customFormat="false" ht="15" hidden="false" customHeight="true" outlineLevel="0" collapsed="false">
      <c r="AN67" s="178" t="n">
        <f aca="false">Copertura!$A$49</f>
        <v>0.677083333333333</v>
      </c>
      <c r="AO67" s="179" t="n">
        <f aca="false">CHOOSE($B$21,Copertura!C49,Copertura!G49,Copertura!K49,Copertura!O49,Copertura!S49,Copertura!W49,Copertura!AA49)</f>
        <v>6</v>
      </c>
      <c r="AP67" s="179" t="n">
        <f aca="false">CHOOSE($B$21,Copertura!E49,Copertura!I49,Copertura!M49,Copertura!Q49,Copertura!U49,Copertura!Y49,Copertura!AC49)</f>
        <v>5</v>
      </c>
    </row>
    <row r="68" customFormat="false" ht="15" hidden="false" customHeight="true" outlineLevel="0" collapsed="false">
      <c r="AN68" s="178" t="n">
        <f aca="false">Copertura!$A$50</f>
        <v>0.6875</v>
      </c>
      <c r="AO68" s="179" t="n">
        <f aca="false">CHOOSE($B$21,Copertura!C50,Copertura!G50,Copertura!K50,Copertura!O50,Copertura!S50,Copertura!W50,Copertura!AA50)</f>
        <v>5</v>
      </c>
      <c r="AP68" s="179" t="n">
        <f aca="false">CHOOSE($B$21,Copertura!E50,Copertura!I50,Copertura!M50,Copertura!Q50,Copertura!U50,Copertura!Y50,Copertura!AC50)</f>
        <v>5</v>
      </c>
    </row>
    <row r="69" customFormat="false" ht="15" hidden="false" customHeight="true" outlineLevel="0" collapsed="false">
      <c r="AN69" s="178" t="n">
        <f aca="false">Copertura!$A$51</f>
        <v>0.697916666666667</v>
      </c>
      <c r="AO69" s="179" t="n">
        <f aca="false">CHOOSE($B$21,Copertura!C51,Copertura!G51,Copertura!K51,Copertura!O51,Copertura!S51,Copertura!W51,Copertura!AA51)</f>
        <v>5</v>
      </c>
      <c r="AP69" s="179" t="n">
        <f aca="false">CHOOSE($B$21,Copertura!E51,Copertura!I51,Copertura!M51,Copertura!Q51,Copertura!U51,Copertura!Y51,Copertura!AC51)</f>
        <v>5</v>
      </c>
    </row>
    <row r="70" customFormat="false" ht="15" hidden="false" customHeight="true" outlineLevel="0" collapsed="false">
      <c r="AN70" s="178" t="n">
        <f aca="false">Copertura!$A$52</f>
        <v>0.708333333333333</v>
      </c>
      <c r="AO70" s="179" t="n">
        <f aca="false">CHOOSE($B$21,Copertura!C52,Copertura!G52,Copertura!K52,Copertura!O52,Copertura!S52,Copertura!W52,Copertura!AA52)</f>
        <v>5</v>
      </c>
      <c r="AP70" s="179" t="n">
        <f aca="false">CHOOSE($B$21,Copertura!E52,Copertura!I52,Copertura!M52,Copertura!Q52,Copertura!U52,Copertura!Y52,Copertura!AC52)</f>
        <v>5</v>
      </c>
    </row>
    <row r="71" customFormat="false" ht="15" hidden="false" customHeight="true" outlineLevel="0" collapsed="false">
      <c r="AN71" s="178" t="n">
        <f aca="false">Copertura!$A$53</f>
        <v>0.71875</v>
      </c>
      <c r="AO71" s="179" t="n">
        <f aca="false">CHOOSE($B$21,Copertura!C53,Copertura!G53,Copertura!K53,Copertura!O53,Copertura!S53,Copertura!W53,Copertura!AA53)</f>
        <v>5</v>
      </c>
      <c r="AP71" s="179" t="n">
        <f aca="false">CHOOSE($B$21,Copertura!E53,Copertura!I53,Copertura!M53,Copertura!Q53,Copertura!U53,Copertura!Y53,Copertura!AC53)</f>
        <v>5</v>
      </c>
    </row>
    <row r="72" customFormat="false" ht="15" hidden="false" customHeight="true" outlineLevel="0" collapsed="false">
      <c r="AN72" s="178" t="n">
        <f aca="false">Copertura!$A$54</f>
        <v>0.729166666666667</v>
      </c>
      <c r="AO72" s="179" t="n">
        <f aca="false">CHOOSE($B$21,Copertura!C54,Copertura!G54,Copertura!K54,Copertura!O54,Copertura!S54,Copertura!W54,Copertura!AA54)</f>
        <v>5</v>
      </c>
      <c r="AP72" s="179" t="n">
        <f aca="false">CHOOSE($B$21,Copertura!E54,Copertura!I54,Copertura!M54,Copertura!Q54,Copertura!U54,Copertura!Y54,Copertura!AC54)</f>
        <v>5</v>
      </c>
    </row>
    <row r="73" customFormat="false" ht="15" hidden="false" customHeight="true" outlineLevel="0" collapsed="false">
      <c r="AN73" s="178" t="n">
        <f aca="false">Copertura!$A$55</f>
        <v>0.739583333333333</v>
      </c>
      <c r="AO73" s="179" t="n">
        <f aca="false">CHOOSE($B$21,Copertura!C55,Copertura!G55,Copertura!K55,Copertura!O55,Copertura!S55,Copertura!W55,Copertura!AA55)</f>
        <v>5</v>
      </c>
      <c r="AP73" s="179" t="n">
        <f aca="false">CHOOSE($B$21,Copertura!E55,Copertura!I55,Copertura!M55,Copertura!Q55,Copertura!U55,Copertura!Y55,Copertura!AC55)</f>
        <v>5</v>
      </c>
    </row>
    <row r="74" customFormat="false" ht="15" hidden="false" customHeight="true" outlineLevel="0" collapsed="false">
      <c r="AN74" s="178" t="n">
        <f aca="false">Copertura!$A$56</f>
        <v>0.75</v>
      </c>
      <c r="AO74" s="179" t="n">
        <f aca="false">CHOOSE($B$21,Copertura!C56,Copertura!G56,Copertura!K56,Copertura!O56,Copertura!S56,Copertura!W56,Copertura!AA56)</f>
        <v>4</v>
      </c>
      <c r="AP74" s="179" t="n">
        <f aca="false">CHOOSE($B$21,Copertura!E56,Copertura!I56,Copertura!M56,Copertura!Q56,Copertura!U56,Copertura!Y56,Copertura!AC56)</f>
        <v>4</v>
      </c>
    </row>
    <row r="75" customFormat="false" ht="15" hidden="false" customHeight="true" outlineLevel="0" collapsed="false">
      <c r="AN75" s="178" t="n">
        <f aca="false">Copertura!$A$57</f>
        <v>0.760416666666667</v>
      </c>
      <c r="AO75" s="179" t="n">
        <f aca="false">CHOOSE($B$21,Copertura!C57,Copertura!G57,Copertura!K57,Copertura!O57,Copertura!S57,Copertura!W57,Copertura!AA57)</f>
        <v>4</v>
      </c>
      <c r="AP75" s="179" t="n">
        <f aca="false">CHOOSE($B$21,Copertura!E57,Copertura!I57,Copertura!M57,Copertura!Q57,Copertura!U57,Copertura!Y57,Copertura!AC57)</f>
        <v>4</v>
      </c>
    </row>
    <row r="76" customFormat="false" ht="15" hidden="false" customHeight="true" outlineLevel="0" collapsed="false">
      <c r="AN76" s="178" t="n">
        <f aca="false">Copertura!$A$58</f>
        <v>0.770833333333333</v>
      </c>
      <c r="AO76" s="179" t="n">
        <f aca="false">CHOOSE($B$21,Copertura!C58,Copertura!G58,Copertura!K58,Copertura!O58,Copertura!S58,Copertura!W58,Copertura!AA58)</f>
        <v>4</v>
      </c>
      <c r="AP76" s="179" t="n">
        <f aca="false">CHOOSE($B$21,Copertura!E58,Copertura!I58,Copertura!M58,Copertura!Q58,Copertura!U58,Copertura!Y58,Copertura!AC58)</f>
        <v>4</v>
      </c>
    </row>
    <row r="77" customFormat="false" ht="15" hidden="false" customHeight="true" outlineLevel="0" collapsed="false">
      <c r="AN77" s="178" t="n">
        <f aca="false">Copertura!$A$59</f>
        <v>0.78125</v>
      </c>
      <c r="AO77" s="179" t="n">
        <f aca="false">CHOOSE($B$21,Copertura!C59,Copertura!G59,Copertura!K59,Copertura!O59,Copertura!S59,Copertura!W59,Copertura!AA59)</f>
        <v>4</v>
      </c>
      <c r="AP77" s="179" t="n">
        <f aca="false">CHOOSE($B$21,Copertura!E59,Copertura!I59,Copertura!M59,Copertura!Q59,Copertura!U59,Copertura!Y59,Copertura!AC59)</f>
        <v>4</v>
      </c>
    </row>
    <row r="78" customFormat="false" ht="15" hidden="false" customHeight="true" outlineLevel="0" collapsed="false">
      <c r="AN78" s="178" t="n">
        <f aca="false">Copertura!$A$60</f>
        <v>0.791666666666667</v>
      </c>
      <c r="AO78" s="179" t="n">
        <f aca="false">CHOOSE($B$21,Copertura!C60,Copertura!G60,Copertura!K60,Copertura!O60,Copertura!S60,Copertura!W60,Copertura!AA60)</f>
        <v>4</v>
      </c>
      <c r="AP78" s="179" t="n">
        <f aca="false">CHOOSE($B$21,Copertura!E60,Copertura!I60,Copertura!M60,Copertura!Q60,Copertura!U60,Copertura!Y60,Copertura!AC60)</f>
        <v>4</v>
      </c>
    </row>
    <row r="79" customFormat="false" ht="15" hidden="false" customHeight="true" outlineLevel="0" collapsed="false">
      <c r="AN79" s="178" t="n">
        <f aca="false">Copertura!$A$61</f>
        <v>0.802083333333333</v>
      </c>
      <c r="AO79" s="179" t="n">
        <f aca="false">CHOOSE($B$21,Copertura!C61,Copertura!G61,Copertura!K61,Copertura!O61,Copertura!S61,Copertura!W61,Copertura!AA61)</f>
        <v>4</v>
      </c>
      <c r="AP79" s="179" t="n">
        <f aca="false">CHOOSE($B$21,Copertura!E61,Copertura!I61,Copertura!M61,Copertura!Q61,Copertura!U61,Copertura!Y61,Copertura!AC61)</f>
        <v>4</v>
      </c>
    </row>
    <row r="80" customFormat="false" ht="15" hidden="false" customHeight="true" outlineLevel="0" collapsed="false">
      <c r="AN80" s="178" t="n">
        <f aca="false">Copertura!$A$62</f>
        <v>0.8125</v>
      </c>
      <c r="AO80" s="179" t="n">
        <f aca="false">CHOOSE($B$21,Copertura!C62,Copertura!G62,Copertura!K62,Copertura!O62,Copertura!S62,Copertura!W62,Copertura!AA62)</f>
        <v>4</v>
      </c>
      <c r="AP80" s="179" t="n">
        <f aca="false">CHOOSE($B$21,Copertura!E62,Copertura!I62,Copertura!M62,Copertura!Q62,Copertura!U62,Copertura!Y62,Copertura!AC62)</f>
        <v>4</v>
      </c>
    </row>
    <row r="81" customFormat="false" ht="15" hidden="false" customHeight="true" outlineLevel="0" collapsed="false">
      <c r="AN81" s="178" t="n">
        <f aca="false">Copertura!$A$63</f>
        <v>0.822916666666667</v>
      </c>
      <c r="AO81" s="179" t="n">
        <f aca="false">CHOOSE($B$21,Copertura!C63,Copertura!G63,Copertura!K63,Copertura!O63,Copertura!S63,Copertura!W63,Copertura!AA63)</f>
        <v>4</v>
      </c>
      <c r="AP81" s="179" t="n">
        <f aca="false">CHOOSE($B$21,Copertura!E63,Copertura!I63,Copertura!M63,Copertura!Q63,Copertura!U63,Copertura!Y63,Copertura!AC63)</f>
        <v>4</v>
      </c>
    </row>
    <row r="82" customFormat="false" ht="15" hidden="false" customHeight="true" outlineLevel="0" collapsed="false">
      <c r="AN82" s="178" t="n">
        <f aca="false">Copertura!$A$64</f>
        <v>0.833333333333333</v>
      </c>
      <c r="AO82" s="179" t="n">
        <f aca="false">CHOOSE($B$21,Copertura!C64,Copertura!G64,Copertura!K64,Copertura!O64,Copertura!S64,Copertura!W64,Copertura!AA64)</f>
        <v>3</v>
      </c>
      <c r="AP82" s="179" t="n">
        <f aca="false">CHOOSE($B$21,Copertura!E64,Copertura!I64,Copertura!M64,Copertura!Q64,Copertura!U64,Copertura!Y64,Copertura!AC64)</f>
        <v>3</v>
      </c>
    </row>
    <row r="83" customFormat="false" ht="15" hidden="false" customHeight="true" outlineLevel="0" collapsed="false">
      <c r="AN83" s="178" t="n">
        <f aca="false">Copertura!$A$65</f>
        <v>0.84375</v>
      </c>
      <c r="AO83" s="179" t="n">
        <f aca="false">CHOOSE($B$21,Copertura!C65,Copertura!G65,Copertura!K65,Copertura!O65,Copertura!S65,Copertura!W65,Copertura!AA65)</f>
        <v>3</v>
      </c>
      <c r="AP83" s="179" t="n">
        <f aca="false">CHOOSE($B$21,Copertura!E65,Copertura!I65,Copertura!M65,Copertura!Q65,Copertura!U65,Copertura!Y65,Copertura!AC65)</f>
        <v>3</v>
      </c>
    </row>
    <row r="84" customFormat="false" ht="15" hidden="false" customHeight="true" outlineLevel="0" collapsed="false">
      <c r="AN84" s="178" t="n">
        <f aca="false">Copertura!$A$66</f>
        <v>0.854166666666667</v>
      </c>
      <c r="AO84" s="179" t="n">
        <f aca="false">CHOOSE($B$21,Copertura!C66,Copertura!G66,Copertura!K66,Copertura!O66,Copertura!S66,Copertura!W66,Copertura!AA66)</f>
        <v>3</v>
      </c>
      <c r="AP84" s="179" t="n">
        <f aca="false">CHOOSE($B$21,Copertura!E66,Copertura!I66,Copertura!M66,Copertura!Q66,Copertura!U66,Copertura!Y66,Copertura!AC66)</f>
        <v>3</v>
      </c>
    </row>
    <row r="85" customFormat="false" ht="15" hidden="false" customHeight="true" outlineLevel="0" collapsed="false">
      <c r="AN85" s="178" t="n">
        <f aca="false">Copertura!$A$67</f>
        <v>0.864583333333333</v>
      </c>
      <c r="AO85" s="179" t="n">
        <f aca="false">CHOOSE($B$21,Copertura!C67,Copertura!G67,Copertura!K67,Copertura!O67,Copertura!S67,Copertura!W67,Copertura!AA67)</f>
        <v>3</v>
      </c>
      <c r="AP85" s="179" t="n">
        <f aca="false">CHOOSE($B$21,Copertura!E67,Copertura!I67,Copertura!M67,Copertura!Q67,Copertura!U67,Copertura!Y67,Copertura!AC67)</f>
        <v>3</v>
      </c>
    </row>
    <row r="86" customFormat="false" ht="15" hidden="false" customHeight="true" outlineLevel="0" collapsed="false">
      <c r="AN86" s="178" t="n">
        <f aca="false">Copertura!$A$68</f>
        <v>0.875</v>
      </c>
      <c r="AO86" s="179" t="n">
        <f aca="false">CHOOSE($B$21,Copertura!C68,Copertura!G68,Copertura!K68,Copertura!O68,Copertura!S68,Copertura!W68,Copertura!AA68)</f>
        <v>3</v>
      </c>
      <c r="AP86" s="179" t="n">
        <f aca="false">CHOOSE($B$21,Copertura!E68,Copertura!I68,Copertura!M68,Copertura!Q68,Copertura!U68,Copertura!Y68,Copertura!AC68)</f>
        <v>2</v>
      </c>
    </row>
  </sheetData>
  <mergeCells count="1">
    <mergeCell ref="D64:J64"/>
  </mergeCells>
  <conditionalFormatting sqref="C9:AG15">
    <cfRule type="colorScale" priority="2">
      <colorScale>
        <cfvo type="num" val="0"/>
        <cfvo type="num" val="1"/>
        <cfvo type="num" val="2"/>
        <color rgb="FFE1F5EE"/>
        <color rgb="FFFAC775"/>
        <color rgb="FFC0392B"/>
      </colorScale>
    </cfRule>
  </conditionalFormatting>
  <conditionalFormatting sqref="AI9:AI15">
    <cfRule type="cellIs" priority="3" operator="greaterThan" aboveAverage="0" equalAverage="0" bottom="0" percent="0" rank="0" text="" dxfId="7">
      <formula>0</formula>
    </cfRule>
  </conditionalFormatting>
  <conditionalFormatting sqref="D56">
    <cfRule type="cellIs" priority="4" operator="lessThan" aboveAverage="0" equalAverage="0" bottom="0" percent="0" rank="0" text="" dxfId="8">
      <formula>0</formula>
    </cfRule>
    <cfRule type="cellIs" priority="5" operator="greaterThanOrEqual" aboveAverage="0" equalAverage="0" bottom="0" percent="0" rank="0" text="" dxfId="9">
      <formula>0</formula>
    </cfRule>
  </conditionalFormatting>
  <conditionalFormatting sqref="D64">
    <cfRule type="expression" priority="6" aboveAverage="0" equalAverage="0" bottom="0" percent="0" rank="0" text="" dxfId="10">
      <formula>ISNUMBER(SEARCH("OK",D64))</formula>
    </cfRule>
    <cfRule type="expression" priority="7" aboveAverage="0" equalAverage="0" bottom="0" percent="0" rank="0" text="" dxfId="11">
      <formula>ISNUMBER(SEARCH("JOLLY:",D64))</formula>
    </cfRule>
    <cfRule type="expression" priority="8" aboveAverage="0" equalAverage="0" bottom="0" percent="0" rank="0" text="" dxfId="12">
      <formula>ISNUMBER(SEARCH("STRAORD",D64))</formula>
    </cfRule>
    <cfRule type="expression" priority="9" aboveAverage="0" equalAverage="0" bottom="0" percent="0" rank="0" text="" dxfId="13">
      <formula>ISNUMBER(SEARCH("CRITICO",D64))</formula>
    </cfRule>
  </conditionalFormatting>
  <dataValidations count="1">
    <dataValidation allowBlank="false" errorStyle="stop" operator="between" showDropDown="false" showErrorMessage="false" showInputMessage="false" sqref="C20" type="list">
      <formula1>"Lun,Mar,Mer,Gio,Ven,Sab,Dom"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2026-07-28T07:53:40Z</dcterms:created>
  <dc:creator>openpyxl</dc:creator>
  <dc:description/>
  <dc:language>en-US</dc:language>
  <cp:lastModifiedBy/>
  <dcterms:modified xsi:type="dcterms:W3CDTF">2026-08-08T18:05:26Z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